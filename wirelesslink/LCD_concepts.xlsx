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Joris\Documents\GitHub\wing\peripheral_uart_cc1101\"/>
    </mc:Choice>
  </mc:AlternateContent>
  <xr:revisionPtr revIDLastSave="0" documentId="13_ncr:1_{2B5FB7E1-9223-47DD-AC68-788D1FA67273}" xr6:coauthVersionLast="47" xr6:coauthVersionMax="47" xr10:uidLastSave="{00000000-0000-0000-0000-000000000000}"/>
  <bookViews>
    <workbookView xWindow="24075" yWindow="3495" windowWidth="26445" windowHeight="11145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2" i="1" l="1"/>
  <c r="AF30" i="1"/>
  <c r="AF33" i="1"/>
  <c r="AF34" i="1"/>
  <c r="AF35" i="1"/>
  <c r="AF31" i="1"/>
  <c r="AH30" i="1"/>
  <c r="AG30" i="1"/>
  <c r="AI30" i="1" l="1"/>
</calcChain>
</file>

<file path=xl/sharedStrings.xml><?xml version="1.0" encoding="utf-8"?>
<sst xmlns="http://schemas.openxmlformats.org/spreadsheetml/2006/main" count="531" uniqueCount="88">
  <si>
    <t>T</t>
  </si>
  <si>
    <t>.</t>
  </si>
  <si>
    <t>C</t>
  </si>
  <si>
    <t>R</t>
  </si>
  <si>
    <t>V</t>
  </si>
  <si>
    <t>/</t>
  </si>
  <si>
    <t>P</t>
  </si>
  <si>
    <t>c</t>
  </si>
  <si>
    <t>o</t>
  </si>
  <si>
    <t>i</t>
  </si>
  <si>
    <t>l</t>
  </si>
  <si>
    <t>I</t>
  </si>
  <si>
    <t>M</t>
  </si>
  <si>
    <t>e</t>
  </si>
  <si>
    <t>m</t>
  </si>
  <si>
    <t>E</t>
  </si>
  <si>
    <t>XX.X</t>
  </si>
  <si>
    <t>units</t>
  </si>
  <si>
    <t>format</t>
  </si>
  <si>
    <t>characters</t>
  </si>
  <si>
    <t>X.XX</t>
  </si>
  <si>
    <t>XXXX</t>
  </si>
  <si>
    <t>mV</t>
  </si>
  <si>
    <t>A</t>
  </si>
  <si>
    <t>mA</t>
  </si>
  <si>
    <t>VREC</t>
  </si>
  <si>
    <t>range</t>
  </si>
  <si>
    <t>10.0-50.0</t>
  </si>
  <si>
    <t>0.00-9.00</t>
  </si>
  <si>
    <t>0.00-5.00</t>
  </si>
  <si>
    <t>0-9000</t>
  </si>
  <si>
    <t>0-5000</t>
  </si>
  <si>
    <t>0-30.0</t>
  </si>
  <si>
    <t>commanded current</t>
  </si>
  <si>
    <t>target current</t>
  </si>
  <si>
    <t>XXX</t>
  </si>
  <si>
    <t>0-100</t>
  </si>
  <si>
    <t>XX</t>
  </si>
  <si>
    <t>0-99</t>
  </si>
  <si>
    <t>Tempr CoilTop</t>
  </si>
  <si>
    <t>Tempr CoilSkin</t>
  </si>
  <si>
    <t>Coil Drive Voltage</t>
  </si>
  <si>
    <t>Tempr Charger/Coil</t>
  </si>
  <si>
    <t>Coil Drive Current</t>
  </si>
  <si>
    <t>System Current</t>
  </si>
  <si>
    <t>0.00-2.50</t>
  </si>
  <si>
    <t>0-2500</t>
  </si>
  <si>
    <t>value can exceed 5000, but that stops charging</t>
  </si>
  <si>
    <t>value can exceed 2500, but that stops charging</t>
  </si>
  <si>
    <t>CT</t>
  </si>
  <si>
    <t>value can reach 20.0V based on HW, or 10.0V with current register settings.  No user currently uses higher than (user max to support 95mA charge are 6.7-8.25V, most below 7.5V)</t>
  </si>
  <si>
    <t>measured current</t>
  </si>
  <si>
    <t>-XXX.X</t>
  </si>
  <si>
    <t>-120.0-120.0</t>
  </si>
  <si>
    <t>measured Voltage</t>
  </si>
  <si>
    <t>2500-4100</t>
  </si>
  <si>
    <t>2.50-4.10</t>
  </si>
  <si>
    <t>tends to measure ~10% higher than commanded until constant voltage taper current</t>
  </si>
  <si>
    <t>Tempr PM</t>
  </si>
  <si>
    <t>TemprB1</t>
  </si>
  <si>
    <t>TemprB2</t>
  </si>
  <si>
    <t>TemprB3</t>
  </si>
  <si>
    <t>0.0-55.0</t>
  </si>
  <si>
    <t>X</t>
  </si>
  <si>
    <t xml:space="preserve">X </t>
  </si>
  <si>
    <t>N</t>
  </si>
  <si>
    <t>B</t>
  </si>
  <si>
    <t>-</t>
  </si>
  <si>
    <t>#</t>
  </si>
  <si>
    <t>!</t>
  </si>
  <si>
    <t>O</t>
  </si>
  <si>
    <t>L</t>
  </si>
  <si>
    <t>U</t>
  </si>
  <si>
    <t>S</t>
  </si>
  <si>
    <t>:</t>
  </si>
  <si>
    <t>n</t>
  </si>
  <si>
    <t>t</t>
  </si>
  <si>
    <t>r</t>
  </si>
  <si>
    <t>g</t>
  </si>
  <si>
    <t>-XXX</t>
  </si>
  <si>
    <t>doesn't need decimal</t>
  </si>
  <si>
    <t>p</t>
  </si>
  <si>
    <t>a</t>
  </si>
  <si>
    <t>x</t>
  </si>
  <si>
    <t>s</t>
  </si>
  <si>
    <t>f</t>
  </si>
  <si>
    <t>b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</si>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</sst>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0" borderId="0" xfId="0" quotePrefix="1"/>
    <xf numFmtId="17" fontId="0" fillId="0" borderId="0" xfId="0" applyNumberFormat="1"/>
    <xf numFmtId="17" fontId="0" fillId="0" borderId="0" xfId="0" quotePrefix="1" applyNumberFormat="1"/>
    <xf numFmtId="0" fontId="1" fillId="0" borderId="0" xfId="0" applyFont="1"/>
    <xf numFmtId="17" fontId="1" fillId="0" borderId="0" xfId="0" applyNumberFormat="1" applyFont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quotePrefix="1" applyBorder="1"/>
    <xf numFmtId="0" fontId="0" fillId="0" borderId="8" xfId="0" applyBorder="1"/>
    <xf numFmtId="0" fontId="0" fillId="0" borderId="1" xfId="0" applyBorder="1"/>
    <xf numFmtId="0" fontId="0" fillId="3" borderId="7" xfId="0" applyFill="1" applyBorder="1"/>
    <xf numFmtId="0" fontId="0" fillId="3" borderId="0" xfId="0" applyFill="1"/>
    <xf numFmtId="0" fontId="0" fillId="3" borderId="5" xfId="0" applyFill="1" applyBorder="1"/>
    <xf numFmtId="0" fontId="0" fillId="3" borderId="4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3" xfId="0" applyFill="1" applyBorder="1"/>
    <xf numFmtId="0" fontId="0" fillId="3" borderId="1" xfId="0" applyFill="1" applyBorder="1"/>
    <xf numFmtId="0" fontId="3" fillId="0" borderId="8" xfId="0" applyFont="1" applyBorder="1"/>
    <xf numFmtId="0" fontId="3" fillId="0" borderId="5" xfId="0" applyFont="1" applyBorder="1"/>
    <xf numFmtId="0" fontId="3" fillId="0" borderId="0" xfId="0" applyFont="1"/>
    <xf numFmtId="0" fontId="2" fillId="3" borderId="2" xfId="0" applyFont="1" applyFill="1" applyBorder="1"/>
    <xf numFmtId="0" fontId="2" fillId="0" borderId="1" xfId="0" applyFont="1" applyBorder="1"/>
    <xf numFmtId="0" fontId="0" fillId="4" borderId="0" xfId="0" applyFill="1"/>
    <xf numFmtId="0" fontId="3" fillId="3" borderId="8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0" fontId="2" fillId="3" borderId="1" xfId="0" applyFont="1" applyFill="1" applyBorder="1"/>
    <xf numFmtId="0" fontId="2" fillId="0" borderId="2" xfId="0" applyFont="1" applyBorder="1"/>
    <xf numFmtId="0" fontId="0" fillId="5" borderId="4" xfId="0" applyFill="1" applyBorder="1"/>
    <xf numFmtId="0" fontId="0" fillId="5" borderId="0" xfId="0" applyFill="1"/>
    <xf numFmtId="0" fontId="0" fillId="5" borderId="2" xfId="0" applyFill="1" applyBorder="1"/>
    <xf numFmtId="0" fontId="0" fillId="3" borderId="8" xfId="0" applyFill="1" applyBorder="1"/>
    <xf numFmtId="0" fontId="0" fillId="0" borderId="0" xfId="0" applyBorder="1"/>
    <xf numFmtId="0" fontId="0" fillId="3" borderId="0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Sheet1!$AG$24:$AG$26</c:f>
              <c:numCache>
                <c:formatCode>General</c:formatCode>
                <c:ptCount val="3"/>
                <c:pt idx="0">
                  <c:v>4.7</c:v>
                </c:pt>
                <c:pt idx="1">
                  <c:v>6.5</c:v>
                </c:pt>
                <c:pt idx="2">
                  <c:v>10</c:v>
                </c:pt>
              </c:numCache>
            </c:numRef>
          </c:xVal>
          <c:yVal>
            <c:numRef>
              <c:f>Sheet1!$AH$24:$AH$26</c:f>
              <c:numCache>
                <c:formatCode>General</c:formatCode>
                <c:ptCount val="3"/>
                <c:pt idx="0">
                  <c:v>999</c:v>
                </c:pt>
                <c:pt idx="1">
                  <c:v>688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D2-4881-9785-FAF50D71F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024040"/>
        <c:axId val="587025680"/>
      </c:scatterChart>
      <c:valAx>
        <c:axId val="587024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25680"/>
        <c:crosses val="autoZero"/>
        <c:crossBetween val="midCat"/>
      </c:valAx>
      <c:valAx>
        <c:axId val="5870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24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352424</xdr:colOff>
      <xdr:row>20</xdr:row>
      <xdr:rowOff>166686</xdr:rowOff>
    </xdr:from>
    <xdr:to>
      <xdr:col>42</xdr:col>
      <xdr:colOff>47625</xdr:colOff>
      <xdr:row>36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2"/>
  <sheetViews>
    <sheetView topLeftCell="A4" workbookViewId="0">
      <selection activeCell="C11" sqref="C11:S11"/>
    </sheetView>
  </sheetViews>
  <sheetFormatPr defaultRowHeight="15" x14ac:dyDescent="0.25"/>
  <cols>
    <col min="2" max="21" width="3" customWidth="1"/>
    <col min="24" max="24" width="19.140625" bestFit="1" customWidth="1"/>
    <col min="25" max="25" width="10" bestFit="1" customWidth="1"/>
    <col min="26" max="26" width="10" customWidth="1"/>
    <col min="29" max="29" width="11.5703125" bestFit="1" customWidth="1"/>
  </cols>
  <sheetData>
    <row r="1" spans="1:30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Y1" t="s">
        <v>19</v>
      </c>
      <c r="AA1" t="s">
        <v>18</v>
      </c>
      <c r="AB1" t="s">
        <v>17</v>
      </c>
      <c r="AC1" t="s">
        <v>26</v>
      </c>
    </row>
    <row r="2" spans="1:30" x14ac:dyDescent="0.25">
      <c r="A2">
        <v>1</v>
      </c>
      <c r="B2" s="1"/>
      <c r="C2" t="s">
        <v>6</v>
      </c>
      <c r="D2" t="s">
        <v>12</v>
      </c>
      <c r="E2" t="s">
        <v>0</v>
      </c>
      <c r="F2" t="s">
        <v>13</v>
      </c>
      <c r="G2" t="s">
        <v>14</v>
      </c>
      <c r="I2" t="s">
        <v>4</v>
      </c>
      <c r="J2" t="s">
        <v>3</v>
      </c>
      <c r="K2" t="s">
        <v>15</v>
      </c>
      <c r="L2" t="s">
        <v>2</v>
      </c>
      <c r="M2" t="s">
        <v>4</v>
      </c>
      <c r="O2" t="s">
        <v>2</v>
      </c>
      <c r="P2" t="s">
        <v>2</v>
      </c>
      <c r="Q2" t="s">
        <v>2</v>
      </c>
      <c r="R2" s="2" t="s">
        <v>5</v>
      </c>
      <c r="S2" t="s">
        <v>0</v>
      </c>
      <c r="T2" t="s">
        <v>0</v>
      </c>
      <c r="U2" t="s">
        <v>0</v>
      </c>
      <c r="X2" t="s">
        <v>42</v>
      </c>
      <c r="Y2">
        <v>4</v>
      </c>
      <c r="Z2">
        <v>5</v>
      </c>
      <c r="AA2" t="s">
        <v>16</v>
      </c>
      <c r="AB2" t="s">
        <v>2</v>
      </c>
      <c r="AC2" s="4" t="s">
        <v>27</v>
      </c>
    </row>
    <row r="3" spans="1:30" x14ac:dyDescent="0.25">
      <c r="A3">
        <v>2</v>
      </c>
      <c r="X3" t="s">
        <v>39</v>
      </c>
      <c r="Y3">
        <v>4</v>
      </c>
      <c r="Z3">
        <v>5</v>
      </c>
      <c r="AA3" t="s">
        <v>16</v>
      </c>
      <c r="AB3" t="s">
        <v>2</v>
      </c>
      <c r="AC3" s="4" t="s">
        <v>27</v>
      </c>
    </row>
    <row r="4" spans="1:30" x14ac:dyDescent="0.25">
      <c r="A4">
        <v>3</v>
      </c>
      <c r="X4" t="s">
        <v>40</v>
      </c>
      <c r="Y4">
        <v>4</v>
      </c>
      <c r="Z4">
        <v>5</v>
      </c>
      <c r="AA4" t="s">
        <v>16</v>
      </c>
      <c r="AB4" t="s">
        <v>2</v>
      </c>
      <c r="AC4" s="4" t="s">
        <v>27</v>
      </c>
    </row>
    <row r="5" spans="1:30" x14ac:dyDescent="0.25">
      <c r="A5">
        <v>4</v>
      </c>
      <c r="X5" t="s">
        <v>41</v>
      </c>
      <c r="Y5">
        <v>4</v>
      </c>
      <c r="Z5">
        <v>5</v>
      </c>
      <c r="AA5" t="s">
        <v>20</v>
      </c>
      <c r="AB5" t="s">
        <v>4</v>
      </c>
      <c r="AC5" s="3" t="s">
        <v>28</v>
      </c>
      <c r="AD5" t="s">
        <v>50</v>
      </c>
    </row>
    <row r="6" spans="1:30" x14ac:dyDescent="0.25">
      <c r="Y6">
        <v>4</v>
      </c>
      <c r="Z6">
        <v>6</v>
      </c>
      <c r="AA6" t="s">
        <v>21</v>
      </c>
      <c r="AB6" t="s">
        <v>22</v>
      </c>
      <c r="AC6" s="3" t="s">
        <v>30</v>
      </c>
    </row>
    <row r="7" spans="1:30" x14ac:dyDescent="0.25">
      <c r="X7" t="s">
        <v>43</v>
      </c>
      <c r="Y7">
        <v>4</v>
      </c>
      <c r="Z7">
        <v>5</v>
      </c>
      <c r="AA7" t="s">
        <v>20</v>
      </c>
      <c r="AB7" t="s">
        <v>23</v>
      </c>
      <c r="AC7" s="3" t="s">
        <v>29</v>
      </c>
    </row>
    <row r="8" spans="1:30" x14ac:dyDescent="0.25">
      <c r="Y8">
        <v>4</v>
      </c>
      <c r="Z8">
        <v>6</v>
      </c>
      <c r="AA8" t="s">
        <v>21</v>
      </c>
      <c r="AB8" t="s">
        <v>24</v>
      </c>
      <c r="AC8" s="3" t="s">
        <v>31</v>
      </c>
      <c r="AD8" t="s">
        <v>47</v>
      </c>
    </row>
    <row r="9" spans="1:30" x14ac:dyDescent="0.25">
      <c r="X9" s="5" t="s">
        <v>44</v>
      </c>
      <c r="Y9" s="5">
        <v>4</v>
      </c>
      <c r="Z9" s="5">
        <v>5</v>
      </c>
      <c r="AA9" s="5" t="s">
        <v>20</v>
      </c>
      <c r="AB9" s="5" t="s">
        <v>23</v>
      </c>
      <c r="AC9" s="6" t="s">
        <v>45</v>
      </c>
    </row>
    <row r="10" spans="1:30" x14ac:dyDescent="0.25"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X10" s="5"/>
      <c r="Y10" s="5">
        <v>4</v>
      </c>
      <c r="Z10" s="5">
        <v>6</v>
      </c>
      <c r="AA10" s="5" t="s">
        <v>21</v>
      </c>
      <c r="AB10" s="5" t="s">
        <v>24</v>
      </c>
      <c r="AC10" s="6" t="s">
        <v>46</v>
      </c>
      <c r="AD10" t="s">
        <v>48</v>
      </c>
    </row>
    <row r="11" spans="1:30" x14ac:dyDescent="0.25">
      <c r="A11">
        <v>1</v>
      </c>
      <c r="B11" s="1"/>
      <c r="C11" t="s">
        <v>7</v>
      </c>
      <c r="D11" t="s">
        <v>8</v>
      </c>
      <c r="E11" t="s">
        <v>9</v>
      </c>
      <c r="F11" t="s">
        <v>10</v>
      </c>
      <c r="G11" t="s">
        <v>0</v>
      </c>
      <c r="I11" t="s">
        <v>7</v>
      </c>
      <c r="J11" t="s">
        <v>8</v>
      </c>
      <c r="K11" t="s">
        <v>9</v>
      </c>
      <c r="L11" t="s">
        <v>10</v>
      </c>
      <c r="M11" t="s">
        <v>4</v>
      </c>
      <c r="O11" t="s">
        <v>7</v>
      </c>
      <c r="P11" t="s">
        <v>8</v>
      </c>
      <c r="Q11" t="s">
        <v>9</v>
      </c>
      <c r="R11" s="2" t="s">
        <v>10</v>
      </c>
      <c r="S11" t="s">
        <v>11</v>
      </c>
      <c r="X11" t="s">
        <v>25</v>
      </c>
      <c r="Y11">
        <v>4</v>
      </c>
      <c r="Z11">
        <v>5</v>
      </c>
      <c r="AA11" t="s">
        <v>16</v>
      </c>
      <c r="AB11" t="s">
        <v>4</v>
      </c>
      <c r="AC11" s="3" t="s">
        <v>32</v>
      </c>
    </row>
    <row r="12" spans="1:30" x14ac:dyDescent="0.25">
      <c r="A12">
        <v>2</v>
      </c>
      <c r="X12" t="s">
        <v>33</v>
      </c>
      <c r="Y12">
        <v>3</v>
      </c>
      <c r="Z12">
        <v>5</v>
      </c>
      <c r="AA12" t="s">
        <v>35</v>
      </c>
      <c r="AB12" t="s">
        <v>24</v>
      </c>
      <c r="AC12" s="3" t="s">
        <v>36</v>
      </c>
    </row>
    <row r="13" spans="1:30" x14ac:dyDescent="0.25">
      <c r="A13">
        <v>3</v>
      </c>
      <c r="Y13">
        <v>2</v>
      </c>
      <c r="Z13">
        <v>4</v>
      </c>
      <c r="AA13" t="s">
        <v>37</v>
      </c>
      <c r="AB13" t="s">
        <v>24</v>
      </c>
      <c r="AC13" s="3" t="s">
        <v>38</v>
      </c>
    </row>
    <row r="14" spans="1:30" x14ac:dyDescent="0.25">
      <c r="A14">
        <v>4</v>
      </c>
      <c r="X14" t="s">
        <v>34</v>
      </c>
      <c r="Y14">
        <v>3</v>
      </c>
      <c r="Z14">
        <v>5</v>
      </c>
      <c r="AA14" t="s">
        <v>35</v>
      </c>
      <c r="AB14" t="s">
        <v>24</v>
      </c>
      <c r="AC14" s="3" t="s">
        <v>36</v>
      </c>
    </row>
    <row r="15" spans="1:30" x14ac:dyDescent="0.25">
      <c r="Y15">
        <v>2</v>
      </c>
      <c r="Z15">
        <v>4</v>
      </c>
      <c r="AA15" t="s">
        <v>37</v>
      </c>
      <c r="AB15" t="s">
        <v>24</v>
      </c>
      <c r="AC15" t="s">
        <v>38</v>
      </c>
    </row>
    <row r="16" spans="1:30" x14ac:dyDescent="0.25">
      <c r="X16" t="s">
        <v>51</v>
      </c>
      <c r="Y16">
        <v>6</v>
      </c>
      <c r="Z16">
        <v>8</v>
      </c>
      <c r="AA16" s="2" t="s">
        <v>52</v>
      </c>
      <c r="AB16" t="s">
        <v>24</v>
      </c>
      <c r="AC16" s="2" t="s">
        <v>53</v>
      </c>
      <c r="AD16" t="s">
        <v>57</v>
      </c>
    </row>
    <row r="17" spans="2:35" ht="15.75" thickBot="1" x14ac:dyDescent="0.3">
      <c r="B17" s="1"/>
      <c r="Y17">
        <v>4</v>
      </c>
      <c r="Z17">
        <v>6</v>
      </c>
      <c r="AA17" s="2" t="s">
        <v>79</v>
      </c>
      <c r="AB17" t="s">
        <v>24</v>
      </c>
      <c r="AC17" s="3" t="s">
        <v>80</v>
      </c>
    </row>
    <row r="18" spans="2:35" x14ac:dyDescent="0.25">
      <c r="B18" s="7" t="s">
        <v>7</v>
      </c>
      <c r="C18" s="8" t="s">
        <v>70</v>
      </c>
      <c r="D18" s="8" t="s">
        <v>11</v>
      </c>
      <c r="E18" s="8" t="s">
        <v>71</v>
      </c>
      <c r="F18" s="8"/>
      <c r="G18" s="8" t="s">
        <v>69</v>
      </c>
      <c r="H18" s="8" t="s">
        <v>63</v>
      </c>
      <c r="I18" s="8" t="s">
        <v>63</v>
      </c>
      <c r="J18" s="8" t="s">
        <v>1</v>
      </c>
      <c r="K18" s="8" t="s">
        <v>63</v>
      </c>
      <c r="L18" s="8" t="s">
        <v>2</v>
      </c>
      <c r="M18" s="8"/>
      <c r="N18" s="8"/>
      <c r="O18" s="8"/>
      <c r="P18" s="8"/>
      <c r="Q18" s="8" t="s">
        <v>63</v>
      </c>
      <c r="R18" s="8" t="s">
        <v>1</v>
      </c>
      <c r="S18" s="8" t="s">
        <v>63</v>
      </c>
      <c r="T18" s="8" t="s">
        <v>64</v>
      </c>
      <c r="U18" s="9" t="s">
        <v>4</v>
      </c>
      <c r="X18" t="s">
        <v>54</v>
      </c>
      <c r="Y18">
        <v>4</v>
      </c>
      <c r="Z18">
        <v>6</v>
      </c>
      <c r="AA18" t="s">
        <v>21</v>
      </c>
      <c r="AB18" t="s">
        <v>22</v>
      </c>
      <c r="AC18" s="3" t="s">
        <v>55</v>
      </c>
    </row>
    <row r="19" spans="2:35" x14ac:dyDescent="0.25">
      <c r="B19" s="10" t="s">
        <v>11</v>
      </c>
      <c r="C19" t="s">
        <v>12</v>
      </c>
      <c r="D19" t="s">
        <v>6</v>
      </c>
      <c r="E19" t="s">
        <v>71</v>
      </c>
      <c r="G19" t="s">
        <v>69</v>
      </c>
      <c r="H19" t="s">
        <v>63</v>
      </c>
      <c r="I19" t="s">
        <v>63</v>
      </c>
      <c r="J19" t="s">
        <v>1</v>
      </c>
      <c r="K19" t="s">
        <v>63</v>
      </c>
      <c r="L19" t="s">
        <v>2</v>
      </c>
      <c r="Q19" t="s">
        <v>63</v>
      </c>
      <c r="R19" t="s">
        <v>1</v>
      </c>
      <c r="S19" t="s">
        <v>63</v>
      </c>
      <c r="T19" t="s">
        <v>63</v>
      </c>
      <c r="U19" s="11" t="s">
        <v>23</v>
      </c>
      <c r="Y19">
        <v>4</v>
      </c>
      <c r="Z19">
        <v>5</v>
      </c>
      <c r="AA19" t="s">
        <v>20</v>
      </c>
      <c r="AB19" t="s">
        <v>4</v>
      </c>
      <c r="AC19" s="3" t="s">
        <v>56</v>
      </c>
    </row>
    <row r="20" spans="2:35" x14ac:dyDescent="0.25">
      <c r="B20" s="10" t="s">
        <v>4</v>
      </c>
      <c r="C20" t="s">
        <v>3</v>
      </c>
      <c r="D20" t="s">
        <v>15</v>
      </c>
      <c r="E20" t="s">
        <v>2</v>
      </c>
      <c r="G20" t="s">
        <v>69</v>
      </c>
      <c r="H20" t="s">
        <v>63</v>
      </c>
      <c r="I20" t="s">
        <v>63</v>
      </c>
      <c r="J20" t="s">
        <v>1</v>
      </c>
      <c r="K20" t="s">
        <v>63</v>
      </c>
      <c r="L20" t="s">
        <v>4</v>
      </c>
      <c r="O20" t="s">
        <v>63</v>
      </c>
      <c r="P20" t="s">
        <v>63</v>
      </c>
      <c r="Q20" t="s">
        <v>63</v>
      </c>
      <c r="R20" s="2" t="s">
        <v>5</v>
      </c>
      <c r="S20" t="s">
        <v>63</v>
      </c>
      <c r="T20" t="s">
        <v>63</v>
      </c>
      <c r="U20" s="11" t="s">
        <v>63</v>
      </c>
      <c r="X20" t="s">
        <v>58</v>
      </c>
      <c r="Y20">
        <v>4</v>
      </c>
      <c r="Z20">
        <v>5</v>
      </c>
      <c r="AA20" t="s">
        <v>16</v>
      </c>
      <c r="AB20" t="s">
        <v>2</v>
      </c>
      <c r="AC20" s="3" t="s">
        <v>27</v>
      </c>
    </row>
    <row r="21" spans="2:35" ht="15.75" thickBot="1" x14ac:dyDescent="0.3">
      <c r="B21" s="12" t="s">
        <v>66</v>
      </c>
      <c r="C21" s="13" t="s">
        <v>23</v>
      </c>
      <c r="D21" s="13" t="s">
        <v>0</v>
      </c>
      <c r="E21" s="13" t="s">
        <v>63</v>
      </c>
      <c r="F21" s="13"/>
      <c r="G21" s="13" t="s">
        <v>63</v>
      </c>
      <c r="H21" s="13" t="s">
        <v>63</v>
      </c>
      <c r="I21" s="13" t="s">
        <v>63</v>
      </c>
      <c r="J21" s="13" t="s">
        <v>63</v>
      </c>
      <c r="K21" s="13" t="s">
        <v>14</v>
      </c>
      <c r="L21" s="13" t="s">
        <v>4</v>
      </c>
      <c r="M21" s="13"/>
      <c r="N21" s="14" t="s">
        <v>67</v>
      </c>
      <c r="O21" s="13" t="s">
        <v>63</v>
      </c>
      <c r="P21" s="13" t="s">
        <v>63</v>
      </c>
      <c r="Q21" s="13" t="s">
        <v>63</v>
      </c>
      <c r="R21" s="13" t="s">
        <v>1</v>
      </c>
      <c r="S21" s="13" t="s">
        <v>63</v>
      </c>
      <c r="T21" s="13" t="s">
        <v>14</v>
      </c>
      <c r="U21" s="15" t="s">
        <v>23</v>
      </c>
      <c r="X21" s="5" t="s">
        <v>59</v>
      </c>
      <c r="Y21" s="5">
        <v>4</v>
      </c>
      <c r="Z21" s="5"/>
      <c r="AA21" s="5" t="s">
        <v>16</v>
      </c>
      <c r="AB21" s="5" t="s">
        <v>2</v>
      </c>
      <c r="AC21" s="6" t="s">
        <v>62</v>
      </c>
    </row>
    <row r="22" spans="2:35" ht="15.75" thickBot="1" x14ac:dyDescent="0.3">
      <c r="X22" s="5" t="s">
        <v>60</v>
      </c>
      <c r="Y22" s="5">
        <v>4</v>
      </c>
      <c r="Z22" s="5"/>
      <c r="AA22" s="5" t="s">
        <v>16</v>
      </c>
      <c r="AB22" s="5" t="s">
        <v>2</v>
      </c>
      <c r="AC22" s="6" t="s">
        <v>62</v>
      </c>
    </row>
    <row r="23" spans="2:35" x14ac:dyDescent="0.25">
      <c r="B23" s="16"/>
      <c r="C23" s="8" t="s">
        <v>63</v>
      </c>
      <c r="D23" s="8" t="s">
        <v>63</v>
      </c>
      <c r="E23" s="8" t="s">
        <v>1</v>
      </c>
      <c r="F23" s="8" t="s">
        <v>63</v>
      </c>
      <c r="G23" s="8" t="s">
        <v>2</v>
      </c>
      <c r="H23" s="8"/>
      <c r="I23" s="8"/>
      <c r="J23" s="8" t="s">
        <v>63</v>
      </c>
      <c r="K23" s="8" t="s">
        <v>1</v>
      </c>
      <c r="L23" s="8" t="s">
        <v>63</v>
      </c>
      <c r="M23" s="8" t="s">
        <v>64</v>
      </c>
      <c r="N23" s="8" t="s">
        <v>4</v>
      </c>
      <c r="O23" s="8"/>
      <c r="P23" s="8"/>
      <c r="Q23" s="8" t="s">
        <v>63</v>
      </c>
      <c r="R23" s="8" t="s">
        <v>1</v>
      </c>
      <c r="S23" s="8" t="s">
        <v>63</v>
      </c>
      <c r="T23" s="8" t="s">
        <v>63</v>
      </c>
      <c r="U23" s="9" t="s">
        <v>23</v>
      </c>
      <c r="X23" s="5" t="s">
        <v>61</v>
      </c>
      <c r="Y23" s="5">
        <v>4</v>
      </c>
      <c r="Z23" s="5"/>
      <c r="AA23" s="5" t="s">
        <v>16</v>
      </c>
      <c r="AB23" s="5" t="s">
        <v>2</v>
      </c>
      <c r="AC23" s="6" t="s">
        <v>62</v>
      </c>
      <c r="AG23" t="s">
        <v>49</v>
      </c>
    </row>
    <row r="24" spans="2:35" x14ac:dyDescent="0.25">
      <c r="B24" s="10" t="s">
        <v>4</v>
      </c>
      <c r="C24" t="s">
        <v>3</v>
      </c>
      <c r="D24" t="s">
        <v>15</v>
      </c>
      <c r="E24" t="s">
        <v>2</v>
      </c>
      <c r="G24" t="s">
        <v>63</v>
      </c>
      <c r="H24" t="s">
        <v>63</v>
      </c>
      <c r="I24" t="s">
        <v>1</v>
      </c>
      <c r="J24" t="s">
        <v>63</v>
      </c>
      <c r="K24" t="s">
        <v>4</v>
      </c>
      <c r="L24" t="s">
        <v>69</v>
      </c>
      <c r="O24" t="s">
        <v>63</v>
      </c>
      <c r="P24" t="s">
        <v>63</v>
      </c>
      <c r="Q24" t="s">
        <v>63</v>
      </c>
      <c r="R24" s="2" t="s">
        <v>5</v>
      </c>
      <c r="S24" t="s">
        <v>63</v>
      </c>
      <c r="T24" t="s">
        <v>63</v>
      </c>
      <c r="U24" s="11" t="s">
        <v>63</v>
      </c>
      <c r="AG24">
        <v>4.7</v>
      </c>
      <c r="AH24">
        <v>999</v>
      </c>
    </row>
    <row r="25" spans="2:35" x14ac:dyDescent="0.25">
      <c r="B25" s="10" t="s">
        <v>0</v>
      </c>
      <c r="C25" t="s">
        <v>15</v>
      </c>
      <c r="D25" t="s">
        <v>12</v>
      </c>
      <c r="E25" t="s">
        <v>6</v>
      </c>
      <c r="G25" t="s">
        <v>63</v>
      </c>
      <c r="H25" t="s">
        <v>63</v>
      </c>
      <c r="I25" t="s">
        <v>1</v>
      </c>
      <c r="J25" t="s">
        <v>63</v>
      </c>
      <c r="K25" t="s">
        <v>2</v>
      </c>
      <c r="L25" t="s">
        <v>69</v>
      </c>
      <c r="U25" s="11"/>
      <c r="AG25">
        <v>6.5</v>
      </c>
      <c r="AH25">
        <v>688</v>
      </c>
    </row>
    <row r="26" spans="2:35" ht="15.75" thickBot="1" x14ac:dyDescent="0.3">
      <c r="B26" s="12" t="s">
        <v>66</v>
      </c>
      <c r="C26" s="13" t="s">
        <v>23</v>
      </c>
      <c r="D26" s="13" t="s">
        <v>0</v>
      </c>
      <c r="E26" s="13" t="s">
        <v>68</v>
      </c>
      <c r="F26" s="13"/>
      <c r="G26" s="13" t="s">
        <v>63</v>
      </c>
      <c r="H26" s="13" t="s">
        <v>63</v>
      </c>
      <c r="I26" s="13" t="s">
        <v>63</v>
      </c>
      <c r="J26" s="13" t="s">
        <v>63</v>
      </c>
      <c r="K26" s="13" t="s">
        <v>14</v>
      </c>
      <c r="L26" s="13" t="s">
        <v>4</v>
      </c>
      <c r="M26" s="13"/>
      <c r="N26" s="14" t="s">
        <v>67</v>
      </c>
      <c r="O26" s="13" t="s">
        <v>63</v>
      </c>
      <c r="P26" s="13" t="s">
        <v>63</v>
      </c>
      <c r="Q26" s="13" t="s">
        <v>63</v>
      </c>
      <c r="R26" s="13" t="s">
        <v>1</v>
      </c>
      <c r="S26" s="13" t="s">
        <v>63</v>
      </c>
      <c r="T26" s="13" t="s">
        <v>14</v>
      </c>
      <c r="U26" s="15" t="s">
        <v>23</v>
      </c>
      <c r="AG26">
        <v>10</v>
      </c>
      <c r="AH26">
        <v>0</v>
      </c>
    </row>
    <row r="28" spans="2:35" ht="15.75" thickBot="1" x14ac:dyDescent="0.3"/>
    <row r="29" spans="2:35" x14ac:dyDescent="0.25">
      <c r="B29" s="16"/>
      <c r="C29" s="8"/>
      <c r="D29" s="8" t="s">
        <v>63</v>
      </c>
      <c r="E29" s="8" t="s">
        <v>63</v>
      </c>
      <c r="F29" s="8" t="s">
        <v>1</v>
      </c>
      <c r="G29" s="8" t="s">
        <v>63</v>
      </c>
      <c r="H29" s="8" t="s">
        <v>2</v>
      </c>
      <c r="I29" s="8"/>
      <c r="J29" s="8" t="s">
        <v>63</v>
      </c>
      <c r="K29" s="8" t="s">
        <v>1</v>
      </c>
      <c r="L29" s="8" t="s">
        <v>63</v>
      </c>
      <c r="M29" s="8" t="s">
        <v>64</v>
      </c>
      <c r="N29" s="8" t="s">
        <v>4</v>
      </c>
      <c r="O29" s="8"/>
      <c r="P29" s="8" t="s">
        <v>63</v>
      </c>
      <c r="Q29" s="8" t="s">
        <v>1</v>
      </c>
      <c r="R29" s="8" t="s">
        <v>63</v>
      </c>
      <c r="S29" s="8" t="s">
        <v>63</v>
      </c>
      <c r="T29" s="8" t="s">
        <v>23</v>
      </c>
      <c r="U29" s="9"/>
    </row>
    <row r="30" spans="2:35" x14ac:dyDescent="0.25">
      <c r="B30" s="10"/>
      <c r="G30" t="s">
        <v>2</v>
      </c>
      <c r="H30" t="s">
        <v>70</v>
      </c>
      <c r="I30" t="s">
        <v>11</v>
      </c>
      <c r="J30" t="s">
        <v>71</v>
      </c>
      <c r="L30" t="s">
        <v>70</v>
      </c>
      <c r="M30" t="s">
        <v>65</v>
      </c>
      <c r="U30" s="11"/>
      <c r="AE30">
        <v>4.7</v>
      </c>
      <c r="AF30">
        <f t="shared" ref="AF30:AF35" si="0">999-173*(AE30-4.7)</f>
        <v>999</v>
      </c>
      <c r="AG30">
        <f>999-688</f>
        <v>311</v>
      </c>
      <c r="AH30">
        <f>6.5-4.7</f>
        <v>1.7999999999999998</v>
      </c>
      <c r="AI30">
        <f>AG30/AH30</f>
        <v>172.7777777777778</v>
      </c>
    </row>
    <row r="31" spans="2:35" x14ac:dyDescent="0.25">
      <c r="B31" s="10"/>
      <c r="E31" t="s">
        <v>72</v>
      </c>
      <c r="F31" t="s">
        <v>73</v>
      </c>
      <c r="G31" t="s">
        <v>15</v>
      </c>
      <c r="I31" t="s">
        <v>2</v>
      </c>
      <c r="J31" t="s">
        <v>23</v>
      </c>
      <c r="K31" t="s">
        <v>72</v>
      </c>
      <c r="L31" t="s">
        <v>0</v>
      </c>
      <c r="M31" t="s">
        <v>11</v>
      </c>
      <c r="N31" t="s">
        <v>70</v>
      </c>
      <c r="O31" t="s">
        <v>65</v>
      </c>
      <c r="P31" t="s">
        <v>74</v>
      </c>
      <c r="U31" s="11"/>
      <c r="AE31">
        <v>7</v>
      </c>
      <c r="AF31">
        <f t="shared" si="0"/>
        <v>601.1</v>
      </c>
    </row>
    <row r="32" spans="2:35" ht="15.75" thickBot="1" x14ac:dyDescent="0.3">
      <c r="B32" s="12"/>
      <c r="C32" s="13" t="s">
        <v>65</v>
      </c>
      <c r="D32" s="13" t="s">
        <v>8</v>
      </c>
      <c r="E32" s="13"/>
      <c r="F32" s="13" t="s">
        <v>6</v>
      </c>
      <c r="G32" s="13" t="s">
        <v>12</v>
      </c>
      <c r="H32" s="13"/>
      <c r="I32" s="13" t="s">
        <v>12</v>
      </c>
      <c r="J32" s="13" t="s">
        <v>8</v>
      </c>
      <c r="K32" s="13" t="s">
        <v>75</v>
      </c>
      <c r="L32" s="13" t="s">
        <v>9</v>
      </c>
      <c r="M32" s="13" t="s">
        <v>76</v>
      </c>
      <c r="N32" s="13" t="s">
        <v>8</v>
      </c>
      <c r="O32" s="13" t="s">
        <v>77</v>
      </c>
      <c r="P32" s="13" t="s">
        <v>9</v>
      </c>
      <c r="Q32" s="13" t="s">
        <v>75</v>
      </c>
      <c r="R32" s="13" t="s">
        <v>78</v>
      </c>
      <c r="S32" s="13"/>
      <c r="T32" s="13"/>
      <c r="U32" s="15"/>
      <c r="AE32">
        <v>7.5</v>
      </c>
      <c r="AF32">
        <f t="shared" si="0"/>
        <v>514.6</v>
      </c>
    </row>
    <row r="33" spans="2:32" ht="15.75" thickBot="1" x14ac:dyDescent="0.3">
      <c r="AE33">
        <v>8.25</v>
      </c>
      <c r="AF33">
        <f t="shared" si="0"/>
        <v>384.85</v>
      </c>
    </row>
    <row r="34" spans="2:32" x14ac:dyDescent="0.25">
      <c r="B34" s="7" t="s">
        <v>13</v>
      </c>
      <c r="C34" s="8" t="s">
        <v>83</v>
      </c>
      <c r="D34" s="8" t="s">
        <v>76</v>
      </c>
      <c r="E34" s="8" t="s">
        <v>7</v>
      </c>
      <c r="F34" s="8" t="s">
        <v>8</v>
      </c>
      <c r="G34" s="8" t="s">
        <v>9</v>
      </c>
      <c r="H34" s="8" t="s">
        <v>10</v>
      </c>
      <c r="I34" s="8"/>
      <c r="J34" s="8" t="s">
        <v>69</v>
      </c>
      <c r="K34" s="8" t="s">
        <v>63</v>
      </c>
      <c r="L34" s="8" t="s">
        <v>63</v>
      </c>
      <c r="M34" s="8" t="s">
        <v>1</v>
      </c>
      <c r="N34" s="8" t="s">
        <v>63</v>
      </c>
      <c r="O34" s="8" t="s">
        <v>2</v>
      </c>
      <c r="P34" s="8"/>
      <c r="Q34" s="8" t="s">
        <v>63</v>
      </c>
      <c r="R34" s="8" t="s">
        <v>1</v>
      </c>
      <c r="S34" s="8" t="s">
        <v>63</v>
      </c>
      <c r="T34" s="8" t="s">
        <v>64</v>
      </c>
      <c r="U34" s="9" t="s">
        <v>4</v>
      </c>
      <c r="AE34">
        <v>9.5</v>
      </c>
      <c r="AF34">
        <f t="shared" si="0"/>
        <v>168.60000000000002</v>
      </c>
    </row>
    <row r="35" spans="2:32" x14ac:dyDescent="0.25">
      <c r="B35" s="10" t="s">
        <v>9</v>
      </c>
      <c r="C35" t="s">
        <v>14</v>
      </c>
      <c r="D35" t="s">
        <v>81</v>
      </c>
      <c r="E35" t="s">
        <v>10</v>
      </c>
      <c r="F35" t="s">
        <v>82</v>
      </c>
      <c r="G35" t="s">
        <v>75</v>
      </c>
      <c r="H35" t="s">
        <v>76</v>
      </c>
      <c r="J35" t="s">
        <v>69</v>
      </c>
      <c r="K35" t="s">
        <v>63</v>
      </c>
      <c r="L35" t="s">
        <v>63</v>
      </c>
      <c r="M35" t="s">
        <v>1</v>
      </c>
      <c r="N35" t="s">
        <v>63</v>
      </c>
      <c r="O35" t="s">
        <v>2</v>
      </c>
      <c r="Q35" t="s">
        <v>63</v>
      </c>
      <c r="R35" t="s">
        <v>1</v>
      </c>
      <c r="S35" t="s">
        <v>63</v>
      </c>
      <c r="T35" t="s">
        <v>63</v>
      </c>
      <c r="U35" s="11" t="s">
        <v>23</v>
      </c>
      <c r="AE35">
        <v>10</v>
      </c>
      <c r="AF35">
        <f t="shared" si="0"/>
        <v>82.100000000000023</v>
      </c>
    </row>
    <row r="36" spans="2:32" x14ac:dyDescent="0.25">
      <c r="B36" s="10" t="s">
        <v>4</v>
      </c>
      <c r="C36" t="s">
        <v>77</v>
      </c>
      <c r="D36" t="s">
        <v>13</v>
      </c>
      <c r="E36" t="s">
        <v>7</v>
      </c>
      <c r="G36" t="s">
        <v>69</v>
      </c>
      <c r="H36" t="s">
        <v>63</v>
      </c>
      <c r="I36" t="s">
        <v>63</v>
      </c>
      <c r="J36" t="s">
        <v>1</v>
      </c>
      <c r="K36" t="s">
        <v>63</v>
      </c>
      <c r="L36" t="s">
        <v>4</v>
      </c>
      <c r="O36" t="s">
        <v>63</v>
      </c>
      <c r="P36" t="s">
        <v>63</v>
      </c>
      <c r="Q36" t="s">
        <v>63</v>
      </c>
      <c r="R36" s="2" t="s">
        <v>5</v>
      </c>
      <c r="S36" t="s">
        <v>63</v>
      </c>
      <c r="T36" t="s">
        <v>63</v>
      </c>
      <c r="U36" s="11" t="s">
        <v>63</v>
      </c>
    </row>
    <row r="37" spans="2:32" ht="15.75" thickBot="1" x14ac:dyDescent="0.3">
      <c r="B37" s="12" t="s">
        <v>66</v>
      </c>
      <c r="C37" s="13" t="s">
        <v>82</v>
      </c>
      <c r="D37" s="13" t="s">
        <v>76</v>
      </c>
      <c r="E37" s="13" t="s">
        <v>76</v>
      </c>
      <c r="F37" s="13"/>
      <c r="G37" s="13" t="s">
        <v>63</v>
      </c>
      <c r="H37" s="13" t="s">
        <v>63</v>
      </c>
      <c r="I37" s="13" t="s">
        <v>63</v>
      </c>
      <c r="J37" s="13" t="s">
        <v>63</v>
      </c>
      <c r="K37" s="13" t="s">
        <v>14</v>
      </c>
      <c r="L37" s="13" t="s">
        <v>4</v>
      </c>
      <c r="M37" s="13"/>
      <c r="N37" s="14" t="s">
        <v>67</v>
      </c>
      <c r="O37" s="13" t="s">
        <v>63</v>
      </c>
      <c r="P37" s="13" t="s">
        <v>63</v>
      </c>
      <c r="Q37" s="13" t="s">
        <v>63</v>
      </c>
      <c r="R37" s="13"/>
      <c r="S37" s="13" t="s">
        <v>14</v>
      </c>
      <c r="T37" s="13" t="s">
        <v>23</v>
      </c>
      <c r="U37" s="15"/>
    </row>
    <row r="38" spans="2:32" ht="15.75" thickBot="1" x14ac:dyDescent="0.3"/>
    <row r="39" spans="2:32" x14ac:dyDescent="0.25">
      <c r="B39" s="7" t="s">
        <v>13</v>
      </c>
      <c r="C39" s="8" t="s">
        <v>83</v>
      </c>
      <c r="D39" s="8" t="s">
        <v>76</v>
      </c>
      <c r="E39" s="8" t="s">
        <v>7</v>
      </c>
      <c r="F39" s="8" t="s">
        <v>8</v>
      </c>
      <c r="G39" s="8" t="s">
        <v>9</v>
      </c>
      <c r="H39" s="8" t="s">
        <v>10</v>
      </c>
      <c r="I39" s="8"/>
      <c r="J39" s="8" t="s">
        <v>69</v>
      </c>
      <c r="K39" s="8" t="s">
        <v>63</v>
      </c>
      <c r="L39" s="8" t="s">
        <v>63</v>
      </c>
      <c r="M39" s="8" t="s">
        <v>1</v>
      </c>
      <c r="N39" s="8" t="s">
        <v>63</v>
      </c>
      <c r="O39" s="8" t="s">
        <v>2</v>
      </c>
      <c r="P39" s="8"/>
      <c r="Q39" s="8" t="s">
        <v>63</v>
      </c>
      <c r="R39" s="8" t="s">
        <v>1</v>
      </c>
      <c r="S39" s="8" t="s">
        <v>63</v>
      </c>
      <c r="T39" s="8" t="s">
        <v>64</v>
      </c>
      <c r="U39" s="9" t="s">
        <v>4</v>
      </c>
    </row>
    <row r="40" spans="2:32" x14ac:dyDescent="0.25">
      <c r="B40" s="10" t="s">
        <v>9</v>
      </c>
      <c r="C40" t="s">
        <v>14</v>
      </c>
      <c r="D40" t="s">
        <v>81</v>
      </c>
      <c r="E40" t="s">
        <v>10</v>
      </c>
      <c r="F40" t="s">
        <v>82</v>
      </c>
      <c r="G40" t="s">
        <v>75</v>
      </c>
      <c r="H40" t="s">
        <v>76</v>
      </c>
      <c r="J40" t="s">
        <v>69</v>
      </c>
      <c r="K40" t="s">
        <v>63</v>
      </c>
      <c r="L40" t="s">
        <v>63</v>
      </c>
      <c r="M40" t="s">
        <v>1</v>
      </c>
      <c r="N40" t="s">
        <v>63</v>
      </c>
      <c r="O40" t="s">
        <v>2</v>
      </c>
      <c r="Q40" t="s">
        <v>63</v>
      </c>
      <c r="R40" t="s">
        <v>1</v>
      </c>
      <c r="S40" t="s">
        <v>63</v>
      </c>
      <c r="T40" t="s">
        <v>63</v>
      </c>
      <c r="U40" s="11" t="s">
        <v>23</v>
      </c>
    </row>
    <row r="41" spans="2:32" x14ac:dyDescent="0.25">
      <c r="B41" s="10" t="s">
        <v>4</v>
      </c>
      <c r="C41" t="s">
        <v>77</v>
      </c>
      <c r="D41" t="s">
        <v>13</v>
      </c>
      <c r="E41" t="s">
        <v>7</v>
      </c>
      <c r="G41" t="s">
        <v>69</v>
      </c>
      <c r="H41" t="s">
        <v>63</v>
      </c>
      <c r="I41" t="s">
        <v>63</v>
      </c>
      <c r="J41" t="s">
        <v>1</v>
      </c>
      <c r="K41" t="s">
        <v>63</v>
      </c>
      <c r="L41" t="s">
        <v>4</v>
      </c>
      <c r="O41" t="s">
        <v>63</v>
      </c>
      <c r="P41" t="s">
        <v>63</v>
      </c>
      <c r="Q41" t="s">
        <v>63</v>
      </c>
      <c r="R41" s="2" t="s">
        <v>5</v>
      </c>
      <c r="S41" t="s">
        <v>63</v>
      </c>
      <c r="T41" t="s">
        <v>63</v>
      </c>
      <c r="U41" s="11" t="s">
        <v>63</v>
      </c>
    </row>
    <row r="42" spans="2:32" ht="15.75" thickBot="1" x14ac:dyDescent="0.3">
      <c r="B42" s="12" t="s">
        <v>66</v>
      </c>
      <c r="C42" s="13" t="s">
        <v>82</v>
      </c>
      <c r="D42" s="13" t="s">
        <v>76</v>
      </c>
      <c r="E42" s="13" t="s">
        <v>76</v>
      </c>
      <c r="F42" s="13"/>
      <c r="G42" s="13" t="s">
        <v>63</v>
      </c>
      <c r="H42" s="13" t="s">
        <v>63</v>
      </c>
      <c r="I42" s="13" t="s">
        <v>63</v>
      </c>
      <c r="J42" s="13" t="s">
        <v>63</v>
      </c>
      <c r="K42" s="13" t="s">
        <v>14</v>
      </c>
      <c r="L42" s="13" t="s">
        <v>4</v>
      </c>
      <c r="M42" s="13"/>
      <c r="N42" s="14" t="s">
        <v>67</v>
      </c>
      <c r="O42" s="13" t="s">
        <v>63</v>
      </c>
      <c r="P42" s="13" t="s">
        <v>63</v>
      </c>
      <c r="Q42" s="13" t="s">
        <v>63</v>
      </c>
      <c r="R42" s="13"/>
      <c r="S42" s="13" t="s">
        <v>14</v>
      </c>
      <c r="T42" s="13" t="s">
        <v>23</v>
      </c>
      <c r="U42" s="15"/>
    </row>
    <row r="43" spans="2:32" ht="15.75" thickBot="1" x14ac:dyDescent="0.3"/>
    <row r="44" spans="2:32" x14ac:dyDescent="0.25">
      <c r="B44" s="7" t="s">
        <v>7</v>
      </c>
      <c r="C44" s="8" t="s">
        <v>70</v>
      </c>
      <c r="D44" s="8" t="s">
        <v>11</v>
      </c>
      <c r="E44" s="8" t="s">
        <v>71</v>
      </c>
      <c r="F44" s="8"/>
      <c r="G44" s="8" t="s">
        <v>69</v>
      </c>
      <c r="H44" s="8" t="s">
        <v>63</v>
      </c>
      <c r="I44" s="8" t="s">
        <v>63</v>
      </c>
      <c r="J44" s="8" t="s">
        <v>1</v>
      </c>
      <c r="K44" s="8" t="s">
        <v>63</v>
      </c>
      <c r="L44" s="8" t="s">
        <v>2</v>
      </c>
      <c r="M44" s="8"/>
      <c r="N44" s="8"/>
      <c r="O44" s="8"/>
      <c r="P44" s="8"/>
      <c r="Q44" s="8" t="s">
        <v>63</v>
      </c>
      <c r="R44" s="8" t="s">
        <v>1</v>
      </c>
      <c r="S44" s="8" t="s">
        <v>63</v>
      </c>
      <c r="T44" s="8" t="s">
        <v>64</v>
      </c>
      <c r="U44" s="9" t="s">
        <v>4</v>
      </c>
    </row>
    <row r="45" spans="2:32" x14ac:dyDescent="0.25">
      <c r="B45" s="10"/>
      <c r="Q45" t="s">
        <v>63</v>
      </c>
      <c r="R45" t="s">
        <v>1</v>
      </c>
      <c r="S45" t="s">
        <v>63</v>
      </c>
      <c r="T45" t="s">
        <v>63</v>
      </c>
      <c r="U45" s="11" t="s">
        <v>23</v>
      </c>
    </row>
    <row r="46" spans="2:32" x14ac:dyDescent="0.25">
      <c r="B46" s="10"/>
      <c r="C46" t="s">
        <v>65</v>
      </c>
      <c r="D46" t="s">
        <v>8</v>
      </c>
      <c r="F46" t="s">
        <v>77</v>
      </c>
      <c r="G46" t="s">
        <v>13</v>
      </c>
      <c r="H46" t="s">
        <v>84</v>
      </c>
      <c r="I46" t="s">
        <v>81</v>
      </c>
      <c r="J46" t="s">
        <v>8</v>
      </c>
      <c r="K46" t="s">
        <v>75</v>
      </c>
      <c r="L46" t="s">
        <v>84</v>
      </c>
      <c r="M46" t="s">
        <v>13</v>
      </c>
      <c r="R46" s="2"/>
      <c r="U46" s="11"/>
    </row>
    <row r="47" spans="2:32" ht="15.75" thickBot="1" x14ac:dyDescent="0.3">
      <c r="B47" s="12"/>
      <c r="C47" s="13"/>
      <c r="D47" s="13" t="s">
        <v>85</v>
      </c>
      <c r="E47" s="13" t="s">
        <v>77</v>
      </c>
      <c r="F47" s="13" t="s">
        <v>8</v>
      </c>
      <c r="G47" s="13" t="s">
        <v>14</v>
      </c>
      <c r="H47" s="13"/>
      <c r="I47" s="13" t="s">
        <v>9</v>
      </c>
      <c r="J47" s="13" t="s">
        <v>14</v>
      </c>
      <c r="K47" s="13" t="s">
        <v>81</v>
      </c>
      <c r="L47" s="13" t="s">
        <v>10</v>
      </c>
      <c r="M47" s="13" t="s">
        <v>82</v>
      </c>
      <c r="N47" s="14" t="s">
        <v>75</v>
      </c>
      <c r="O47" s="13" t="s">
        <v>76</v>
      </c>
      <c r="P47" s="13" t="s">
        <v>69</v>
      </c>
      <c r="Q47" s="13"/>
      <c r="R47" s="13"/>
      <c r="S47" s="13"/>
      <c r="T47" s="13"/>
      <c r="U47" s="15"/>
    </row>
    <row r="48" spans="2:32" ht="15.75" thickBot="1" x14ac:dyDescent="0.3"/>
    <row r="49" spans="2:21" x14ac:dyDescent="0.25">
      <c r="B49" s="7" t="s">
        <v>7</v>
      </c>
      <c r="C49" s="8" t="s">
        <v>70</v>
      </c>
      <c r="D49" s="8" t="s">
        <v>11</v>
      </c>
      <c r="E49" s="8" t="s">
        <v>71</v>
      </c>
      <c r="F49" s="8"/>
      <c r="G49" s="8" t="s">
        <v>69</v>
      </c>
      <c r="H49" s="8" t="s">
        <v>63</v>
      </c>
      <c r="I49" s="8" t="s">
        <v>63</v>
      </c>
      <c r="J49" s="8" t="s">
        <v>1</v>
      </c>
      <c r="K49" s="8" t="s">
        <v>63</v>
      </c>
      <c r="L49" s="8" t="s">
        <v>2</v>
      </c>
      <c r="M49" s="8"/>
      <c r="N49" s="8"/>
      <c r="O49" s="8"/>
      <c r="P49" s="8"/>
      <c r="Q49" s="8" t="s">
        <v>63</v>
      </c>
      <c r="R49" s="8" t="s">
        <v>1</v>
      </c>
      <c r="S49" s="8" t="s">
        <v>63</v>
      </c>
      <c r="T49" s="8" t="s">
        <v>64</v>
      </c>
      <c r="U49" s="9" t="s">
        <v>4</v>
      </c>
    </row>
    <row r="50" spans="2:21" x14ac:dyDescent="0.25">
      <c r="B50" s="10"/>
      <c r="Q50" t="s">
        <v>63</v>
      </c>
      <c r="R50" t="s">
        <v>1</v>
      </c>
      <c r="S50" t="s">
        <v>63</v>
      </c>
      <c r="T50" t="s">
        <v>63</v>
      </c>
      <c r="U50" s="11" t="s">
        <v>23</v>
      </c>
    </row>
    <row r="51" spans="2:21" x14ac:dyDescent="0.25">
      <c r="B51" s="10"/>
      <c r="C51" t="s">
        <v>65</v>
      </c>
      <c r="D51" t="s">
        <v>8</v>
      </c>
      <c r="F51" t="s">
        <v>77</v>
      </c>
      <c r="G51" t="s">
        <v>13</v>
      </c>
      <c r="H51" t="s">
        <v>84</v>
      </c>
      <c r="I51" t="s">
        <v>81</v>
      </c>
      <c r="J51" t="s">
        <v>8</v>
      </c>
      <c r="K51" t="s">
        <v>75</v>
      </c>
      <c r="L51" t="s">
        <v>84</v>
      </c>
      <c r="M51" t="s">
        <v>13</v>
      </c>
      <c r="R51" s="2"/>
      <c r="U51" s="11"/>
    </row>
    <row r="52" spans="2:21" ht="15.75" thickBot="1" x14ac:dyDescent="0.3">
      <c r="B52" s="12"/>
      <c r="C52" s="13"/>
      <c r="D52" s="13" t="s">
        <v>85</v>
      </c>
      <c r="E52" s="13" t="s">
        <v>77</v>
      </c>
      <c r="F52" s="13" t="s">
        <v>8</v>
      </c>
      <c r="G52" s="13" t="s">
        <v>14</v>
      </c>
      <c r="H52" s="13"/>
      <c r="I52" s="13" t="s">
        <v>9</v>
      </c>
      <c r="J52" s="13" t="s">
        <v>14</v>
      </c>
      <c r="K52" s="13" t="s">
        <v>81</v>
      </c>
      <c r="L52" s="13" t="s">
        <v>10</v>
      </c>
      <c r="M52" s="13" t="s">
        <v>82</v>
      </c>
      <c r="N52" s="14" t="s">
        <v>75</v>
      </c>
      <c r="O52" s="13" t="s">
        <v>76</v>
      </c>
      <c r="P52" s="13" t="s">
        <v>69</v>
      </c>
      <c r="Q52" s="13"/>
      <c r="R52" s="13"/>
      <c r="S52" s="13"/>
      <c r="T52" s="13"/>
      <c r="U52" s="15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188-A225-430E-803B-21F260CC1585}">
  <dimension ref="B1:BN170"/>
  <sheetViews>
    <sheetView tabSelected="1" topLeftCell="A67" zoomScale="61" workbookViewId="0">
      <selection activeCell="AG87" sqref="AG87"/>
    </sheetView>
  </sheetViews>
  <sheetFormatPr defaultRowHeight="15" x14ac:dyDescent="0.25"/>
  <cols>
    <col min="2" max="12" width="2.7109375" customWidth="1"/>
    <col min="13" max="13" width="9.85546875" customWidth="1"/>
    <col min="14" max="24" width="2.7109375" customWidth="1"/>
    <col min="25" max="25" width="8.85546875" customWidth="1"/>
    <col min="26" max="36" width="2.7109375" customWidth="1"/>
    <col min="37" max="37" width="8" customWidth="1"/>
    <col min="38" max="69" width="2.7109375" customWidth="1"/>
  </cols>
  <sheetData>
    <row r="1" spans="2:60" ht="15.75" thickBot="1" x14ac:dyDescent="0.3"/>
    <row r="2" spans="2:60" x14ac:dyDescent="0.25">
      <c r="B2" s="16"/>
      <c r="C2" s="8"/>
      <c r="D2" s="8"/>
      <c r="E2" s="8"/>
      <c r="F2" s="9"/>
      <c r="H2" s="16"/>
      <c r="I2" s="8"/>
      <c r="J2" s="8"/>
      <c r="K2" s="8"/>
      <c r="L2" s="9"/>
      <c r="N2" s="16"/>
      <c r="O2" s="8"/>
      <c r="P2" s="8"/>
      <c r="Q2" s="8"/>
      <c r="R2" s="9"/>
      <c r="T2" s="16"/>
      <c r="U2" s="8"/>
      <c r="V2" s="8"/>
      <c r="W2" s="8"/>
      <c r="X2" s="9"/>
      <c r="Z2" s="16"/>
      <c r="AA2" s="8"/>
      <c r="AB2" s="8"/>
      <c r="AC2" s="8"/>
      <c r="AD2" s="9"/>
      <c r="AF2" s="16"/>
      <c r="AG2" s="8"/>
      <c r="AH2" s="8"/>
      <c r="AI2" s="8"/>
      <c r="AJ2" s="9"/>
      <c r="AL2" s="16"/>
      <c r="AM2" s="8"/>
      <c r="AN2" s="8"/>
      <c r="AO2" s="8"/>
      <c r="AP2" s="9"/>
      <c r="AR2" s="16"/>
      <c r="AS2" s="8"/>
      <c r="AT2" s="8"/>
      <c r="AU2" s="8"/>
      <c r="AV2" s="9"/>
      <c r="AX2" s="16"/>
      <c r="AY2" s="8"/>
      <c r="AZ2" s="8"/>
      <c r="BA2" s="8"/>
      <c r="BB2" s="9"/>
      <c r="BD2" s="16"/>
      <c r="BE2" s="8"/>
      <c r="BF2" s="8"/>
      <c r="BG2" s="21"/>
      <c r="BH2" s="23"/>
    </row>
    <row r="3" spans="2:60" x14ac:dyDescent="0.25">
      <c r="B3" s="10"/>
      <c r="F3" s="11"/>
      <c r="H3" s="10"/>
      <c r="L3" s="11"/>
      <c r="N3" s="10"/>
      <c r="R3" s="11"/>
      <c r="T3" s="10"/>
      <c r="X3" s="11"/>
      <c r="Z3" s="10"/>
      <c r="AD3" s="11"/>
      <c r="AF3" s="10"/>
      <c r="AJ3" s="11"/>
      <c r="AL3" s="10"/>
      <c r="AP3" s="11"/>
      <c r="AR3" s="10"/>
      <c r="AV3" s="11"/>
      <c r="AX3" s="10"/>
      <c r="BB3" s="11"/>
      <c r="BD3" s="10"/>
      <c r="BG3" s="18"/>
      <c r="BH3" s="19"/>
    </row>
    <row r="4" spans="2:60" x14ac:dyDescent="0.25">
      <c r="B4" s="10"/>
      <c r="F4" s="11"/>
      <c r="H4" s="10"/>
      <c r="L4" s="11"/>
      <c r="N4" s="10"/>
      <c r="R4" s="11"/>
      <c r="T4" s="10"/>
      <c r="X4" s="11"/>
      <c r="Z4" s="10"/>
      <c r="AD4" s="11"/>
      <c r="AF4" s="10"/>
      <c r="AJ4" s="11"/>
      <c r="AL4" s="10"/>
      <c r="AP4" s="11"/>
      <c r="AR4" s="20"/>
      <c r="AS4" s="18"/>
      <c r="AV4" s="11"/>
      <c r="AX4" s="10"/>
      <c r="BB4" s="11"/>
      <c r="BD4" s="20"/>
      <c r="BE4" s="18"/>
      <c r="BG4" s="18"/>
      <c r="BH4" s="19"/>
    </row>
    <row r="5" spans="2:60" x14ac:dyDescent="0.25">
      <c r="B5" s="10"/>
      <c r="F5" s="11"/>
      <c r="H5" s="10"/>
      <c r="L5" s="11"/>
      <c r="N5" s="10"/>
      <c r="R5" s="11"/>
      <c r="T5" s="10"/>
      <c r="X5" s="11"/>
      <c r="Z5" s="10"/>
      <c r="AD5" s="11"/>
      <c r="AF5" s="10"/>
      <c r="AJ5" s="11"/>
      <c r="AL5" s="10"/>
      <c r="AP5" s="11"/>
      <c r="AR5" s="20"/>
      <c r="AS5" s="18"/>
      <c r="AV5" s="11"/>
      <c r="AX5" s="10"/>
      <c r="BB5" s="11"/>
      <c r="BD5" s="20"/>
      <c r="BE5" s="18"/>
      <c r="BG5" s="18"/>
      <c r="BH5" s="19"/>
    </row>
    <row r="6" spans="2:60" x14ac:dyDescent="0.25">
      <c r="B6" s="10"/>
      <c r="F6" s="11"/>
      <c r="H6" s="10"/>
      <c r="L6" s="11"/>
      <c r="N6" s="10"/>
      <c r="R6" s="11"/>
      <c r="T6" s="10"/>
      <c r="X6" s="11"/>
      <c r="Z6" s="10"/>
      <c r="AC6" s="18"/>
      <c r="AD6" s="19"/>
      <c r="AF6" s="10"/>
      <c r="AJ6" s="11"/>
      <c r="AL6" s="10"/>
      <c r="AO6" s="18"/>
      <c r="AP6" s="19"/>
      <c r="AR6" s="20"/>
      <c r="AS6" s="18"/>
      <c r="AV6" s="11"/>
      <c r="AX6" s="10"/>
      <c r="BA6" s="18"/>
      <c r="BB6" s="19"/>
      <c r="BD6" s="20"/>
      <c r="BE6" s="18"/>
      <c r="BG6" s="18"/>
      <c r="BH6" s="19"/>
    </row>
    <row r="7" spans="2:60" x14ac:dyDescent="0.25">
      <c r="B7" s="10"/>
      <c r="F7" s="11"/>
      <c r="H7" s="10"/>
      <c r="L7" s="11"/>
      <c r="N7" s="10"/>
      <c r="R7" s="11"/>
      <c r="T7" s="10"/>
      <c r="X7" s="11"/>
      <c r="Z7" s="10"/>
      <c r="AC7" s="18"/>
      <c r="AD7" s="19"/>
      <c r="AF7" s="10"/>
      <c r="AJ7" s="11"/>
      <c r="AL7" s="10"/>
      <c r="AO7" s="18"/>
      <c r="AP7" s="19"/>
      <c r="AR7" s="20"/>
      <c r="AS7" s="18"/>
      <c r="AV7" s="11"/>
      <c r="AX7" s="10"/>
      <c r="BA7" s="18"/>
      <c r="BB7" s="19"/>
      <c r="BD7" s="20"/>
      <c r="BE7" s="18"/>
      <c r="BG7" s="18"/>
      <c r="BH7" s="19"/>
    </row>
    <row r="8" spans="2:60" x14ac:dyDescent="0.25">
      <c r="B8" s="10"/>
      <c r="F8" s="11"/>
      <c r="H8" s="10"/>
      <c r="L8" s="11"/>
      <c r="N8" s="20"/>
      <c r="O8" s="18"/>
      <c r="R8" s="11"/>
      <c r="T8" s="10"/>
      <c r="X8" s="11"/>
      <c r="Z8" s="20"/>
      <c r="AA8" s="18"/>
      <c r="AC8" s="18"/>
      <c r="AD8" s="19"/>
      <c r="AF8" s="10"/>
      <c r="AJ8" s="11"/>
      <c r="AL8" s="20"/>
      <c r="AM8" s="18"/>
      <c r="AO8" s="18"/>
      <c r="AP8" s="19"/>
      <c r="AR8" s="20"/>
      <c r="AS8" s="18"/>
      <c r="AV8" s="11"/>
      <c r="AX8" s="20"/>
      <c r="AY8" s="18"/>
      <c r="BA8" s="18"/>
      <c r="BB8" s="19"/>
      <c r="BD8" s="20"/>
      <c r="BE8" s="18"/>
      <c r="BG8" s="18"/>
      <c r="BH8" s="19"/>
    </row>
    <row r="9" spans="2:60" ht="15.75" thickBot="1" x14ac:dyDescent="0.3">
      <c r="B9" s="12"/>
      <c r="C9" s="13"/>
      <c r="D9" s="13"/>
      <c r="E9" s="13"/>
      <c r="F9" s="15"/>
      <c r="H9" s="12"/>
      <c r="I9" s="13"/>
      <c r="J9" s="13"/>
      <c r="K9" s="13"/>
      <c r="L9" s="15"/>
      <c r="N9" s="20"/>
      <c r="O9" s="18"/>
      <c r="P9" s="13"/>
      <c r="Q9" s="13"/>
      <c r="R9" s="15"/>
      <c r="T9" s="12"/>
      <c r="U9" s="13"/>
      <c r="V9" s="13"/>
      <c r="W9" s="13"/>
      <c r="X9" s="15"/>
      <c r="Z9" s="20"/>
      <c r="AA9" s="18"/>
      <c r="AB9" s="13"/>
      <c r="AC9" s="17"/>
      <c r="AD9" s="39"/>
      <c r="AF9" s="12"/>
      <c r="AG9" s="13"/>
      <c r="AH9" s="13"/>
      <c r="AI9" s="13"/>
      <c r="AJ9" s="15"/>
      <c r="AL9" s="20"/>
      <c r="AM9" s="18"/>
      <c r="AN9" s="13"/>
      <c r="AO9" s="17"/>
      <c r="AP9" s="39"/>
      <c r="AR9" s="22"/>
      <c r="AS9" s="17"/>
      <c r="AT9" s="13"/>
      <c r="AU9" s="13"/>
      <c r="AV9" s="15"/>
      <c r="AX9" s="20"/>
      <c r="AY9" s="18"/>
      <c r="AZ9" s="13"/>
      <c r="BA9" s="17"/>
      <c r="BB9" s="39"/>
      <c r="BD9" s="22"/>
      <c r="BE9" s="17"/>
      <c r="BF9" s="13"/>
      <c r="BG9" s="17"/>
      <c r="BH9" s="39"/>
    </row>
    <row r="10" spans="2:60" ht="51.75" customHeight="1" thickBot="1" x14ac:dyDescent="0.3"/>
    <row r="11" spans="2:60" x14ac:dyDescent="0.25">
      <c r="B11" s="16"/>
      <c r="C11" s="8"/>
      <c r="D11" s="8"/>
      <c r="E11" s="8"/>
      <c r="F11" s="9"/>
      <c r="H11" s="16"/>
      <c r="I11" s="8"/>
      <c r="J11" s="8"/>
      <c r="K11" s="8"/>
      <c r="L11" s="9"/>
      <c r="N11" s="16"/>
      <c r="O11" s="8"/>
      <c r="P11" s="8"/>
      <c r="Q11" s="8"/>
      <c r="R11" s="9"/>
      <c r="T11" s="16"/>
      <c r="U11" s="8"/>
      <c r="V11" s="8"/>
      <c r="W11" s="8"/>
      <c r="X11" s="9"/>
      <c r="Z11" s="16"/>
      <c r="AA11" s="8"/>
      <c r="AB11" s="8"/>
      <c r="AC11" s="8"/>
      <c r="AD11" s="9"/>
      <c r="AF11" s="16"/>
      <c r="AG11" s="8"/>
      <c r="AH11" s="8"/>
      <c r="AI11" s="8"/>
      <c r="AJ11" s="9"/>
      <c r="AL11" s="16"/>
      <c r="AM11" s="8"/>
      <c r="AN11" s="8"/>
      <c r="AO11" s="8"/>
      <c r="AP11" s="9"/>
      <c r="AR11" s="16"/>
      <c r="AS11" s="8"/>
      <c r="AT11" s="8"/>
      <c r="AU11" s="8"/>
      <c r="AV11" s="9"/>
      <c r="AX11" s="16"/>
      <c r="AY11" s="8"/>
      <c r="AZ11" s="8"/>
      <c r="BA11" s="8"/>
      <c r="BB11" s="9"/>
      <c r="BD11" s="16"/>
      <c r="BE11" s="8"/>
      <c r="BF11" s="8"/>
      <c r="BG11" s="21"/>
      <c r="BH11" s="23"/>
    </row>
    <row r="12" spans="2:60" x14ac:dyDescent="0.25">
      <c r="B12" s="10"/>
      <c r="F12" s="11"/>
      <c r="H12" s="10"/>
      <c r="L12" s="11"/>
      <c r="N12" s="10"/>
      <c r="R12" s="11"/>
      <c r="T12" s="10"/>
      <c r="X12" s="11"/>
      <c r="Z12" s="10"/>
      <c r="AD12" s="11"/>
      <c r="AF12" s="10"/>
      <c r="AJ12" s="11"/>
      <c r="AL12" s="10"/>
      <c r="AP12" s="11"/>
      <c r="AR12" s="10"/>
      <c r="AV12" s="11"/>
      <c r="AX12" s="10"/>
      <c r="BB12" s="11"/>
      <c r="BD12" s="10"/>
      <c r="BG12" s="18"/>
      <c r="BH12" s="19"/>
    </row>
    <row r="13" spans="2:60" x14ac:dyDescent="0.25">
      <c r="B13" s="10"/>
      <c r="F13" s="11"/>
      <c r="H13" s="10"/>
      <c r="L13" s="11"/>
      <c r="N13" s="10"/>
      <c r="R13" s="11"/>
      <c r="T13" s="10"/>
      <c r="X13" s="11"/>
      <c r="Z13" s="10"/>
      <c r="AD13" s="11"/>
      <c r="AF13" s="10"/>
      <c r="AJ13" s="11"/>
      <c r="AL13" s="10"/>
      <c r="AP13" s="11"/>
      <c r="AR13" s="20"/>
      <c r="AS13" s="18"/>
      <c r="AV13" s="11"/>
      <c r="AX13" s="10"/>
      <c r="BB13" s="11"/>
      <c r="BD13" s="20"/>
      <c r="BE13" s="18"/>
      <c r="BG13" s="18"/>
      <c r="BH13" s="19"/>
    </row>
    <row r="14" spans="2:60" x14ac:dyDescent="0.25">
      <c r="B14" s="10"/>
      <c r="F14" s="11"/>
      <c r="H14" s="10"/>
      <c r="L14" s="11"/>
      <c r="N14" s="10"/>
      <c r="R14" s="11"/>
      <c r="T14" s="10"/>
      <c r="X14" s="11"/>
      <c r="Z14" s="10"/>
      <c r="AD14" s="11"/>
      <c r="AF14" s="10"/>
      <c r="AJ14" s="11"/>
      <c r="AL14" s="10"/>
      <c r="AP14" s="11"/>
      <c r="AR14" s="20"/>
      <c r="AS14" s="18"/>
      <c r="AV14" s="11"/>
      <c r="AX14" s="10"/>
      <c r="BB14" s="11"/>
      <c r="BD14" s="20"/>
      <c r="BE14" s="18"/>
      <c r="BG14" s="18"/>
      <c r="BH14" s="19"/>
    </row>
    <row r="15" spans="2:60" x14ac:dyDescent="0.25">
      <c r="B15" s="10"/>
      <c r="F15" s="11"/>
      <c r="H15" s="10"/>
      <c r="L15" s="11"/>
      <c r="N15" s="10"/>
      <c r="R15" s="11"/>
      <c r="T15" s="10"/>
      <c r="X15" s="11"/>
      <c r="Z15" s="10"/>
      <c r="AC15" s="18"/>
      <c r="AD15" s="19"/>
      <c r="AF15" s="10"/>
      <c r="AJ15" s="11"/>
      <c r="AL15" s="10"/>
      <c r="AO15" s="18"/>
      <c r="AP15" s="19"/>
      <c r="AR15" s="20"/>
      <c r="AS15" s="18"/>
      <c r="AV15" s="11"/>
      <c r="AX15" s="10"/>
      <c r="BA15" s="18"/>
      <c r="BB15" s="19"/>
      <c r="BD15" s="20"/>
      <c r="BE15" s="18"/>
      <c r="BG15" s="18"/>
      <c r="BH15" s="19"/>
    </row>
    <row r="16" spans="2:60" x14ac:dyDescent="0.25">
      <c r="B16" s="10"/>
      <c r="F16" s="11"/>
      <c r="H16" s="10"/>
      <c r="L16" s="11"/>
      <c r="N16" s="10"/>
      <c r="R16" s="11"/>
      <c r="T16" s="10"/>
      <c r="X16" s="11"/>
      <c r="Z16" s="10"/>
      <c r="AC16" s="18"/>
      <c r="AD16" s="19"/>
      <c r="AF16" s="10"/>
      <c r="AJ16" s="11"/>
      <c r="AL16" s="10"/>
      <c r="AO16" s="18"/>
      <c r="AP16" s="19"/>
      <c r="AR16" s="20"/>
      <c r="AS16" s="18"/>
      <c r="AV16" s="11"/>
      <c r="AX16" s="10"/>
      <c r="BA16" s="18"/>
      <c r="BB16" s="19"/>
      <c r="BD16" s="20"/>
      <c r="BE16" s="18"/>
      <c r="BG16" s="18"/>
      <c r="BH16" s="19"/>
    </row>
    <row r="17" spans="2:60" x14ac:dyDescent="0.25">
      <c r="B17" s="10"/>
      <c r="F17" s="11"/>
      <c r="H17" s="10"/>
      <c r="L17" s="11"/>
      <c r="N17" s="20"/>
      <c r="O17" s="18"/>
      <c r="R17" s="11"/>
      <c r="T17" s="10"/>
      <c r="X17" s="11"/>
      <c r="Z17" s="20"/>
      <c r="AA17" s="18"/>
      <c r="AC17" s="18"/>
      <c r="AD17" s="19"/>
      <c r="AF17" s="10"/>
      <c r="AJ17" s="11"/>
      <c r="AL17" s="20"/>
      <c r="AM17" s="18"/>
      <c r="AO17" s="18"/>
      <c r="AP17" s="19"/>
      <c r="AR17" s="20"/>
      <c r="AS17" s="18"/>
      <c r="AV17" s="11"/>
      <c r="AX17" s="20"/>
      <c r="AY17" s="18"/>
      <c r="BA17" s="18"/>
      <c r="BB17" s="19"/>
      <c r="BD17" s="20"/>
      <c r="BE17" s="18"/>
      <c r="BG17" s="18"/>
      <c r="BH17" s="19"/>
    </row>
    <row r="18" spans="2:60" ht="15.75" thickBot="1" x14ac:dyDescent="0.3">
      <c r="B18" s="20"/>
      <c r="C18" s="18"/>
      <c r="D18" s="13"/>
      <c r="E18" s="17"/>
      <c r="F18" s="39"/>
      <c r="H18" s="22"/>
      <c r="I18" s="17"/>
      <c r="J18" s="13"/>
      <c r="K18" s="17"/>
      <c r="L18" s="39"/>
      <c r="N18" s="20"/>
      <c r="O18" s="18"/>
      <c r="P18" s="13"/>
      <c r="Q18" s="17"/>
      <c r="R18" s="39"/>
      <c r="T18" s="22"/>
      <c r="U18" s="17"/>
      <c r="V18" s="13"/>
      <c r="W18" s="17"/>
      <c r="X18" s="39"/>
      <c r="Z18" s="20"/>
      <c r="AA18" s="18"/>
      <c r="AB18" s="13"/>
      <c r="AC18" s="17"/>
      <c r="AD18" s="39"/>
      <c r="AF18" s="22"/>
      <c r="AG18" s="17"/>
      <c r="AH18" s="13"/>
      <c r="AI18" s="17"/>
      <c r="AJ18" s="39"/>
      <c r="AL18" s="20"/>
      <c r="AM18" s="18"/>
      <c r="AN18" s="13"/>
      <c r="AO18" s="17"/>
      <c r="AP18" s="39"/>
      <c r="AR18" s="22"/>
      <c r="AS18" s="17"/>
      <c r="AT18" s="13"/>
      <c r="AU18" s="17"/>
      <c r="AV18" s="39"/>
      <c r="AX18" s="20"/>
      <c r="AY18" s="18"/>
      <c r="AZ18" s="13"/>
      <c r="BA18" s="17"/>
      <c r="BB18" s="39"/>
      <c r="BD18" s="22"/>
      <c r="BE18" s="17"/>
      <c r="BF18" s="13"/>
      <c r="BG18" s="17"/>
      <c r="BH18" s="39"/>
    </row>
    <row r="19" spans="2:60" ht="50.25" customHeight="1" thickBot="1" x14ac:dyDescent="0.3"/>
    <row r="20" spans="2:60" x14ac:dyDescent="0.25">
      <c r="B20" s="16"/>
      <c r="C20" s="8"/>
      <c r="D20" s="8"/>
      <c r="E20" s="8"/>
      <c r="F20" s="9"/>
      <c r="H20" s="16"/>
      <c r="I20" s="8"/>
      <c r="J20" s="8"/>
      <c r="K20" s="8"/>
      <c r="L20" s="9"/>
      <c r="N20" s="16"/>
      <c r="O20" s="8"/>
      <c r="P20" s="8"/>
      <c r="Q20" s="8"/>
      <c r="R20" s="9"/>
      <c r="T20" s="16"/>
      <c r="U20" s="8"/>
      <c r="V20" s="8"/>
      <c r="W20" s="8"/>
      <c r="X20" s="9"/>
      <c r="Z20" s="16"/>
      <c r="AA20" s="8"/>
      <c r="AB20" s="8"/>
      <c r="AC20" s="8"/>
      <c r="AD20" s="9"/>
      <c r="AF20" s="16"/>
      <c r="AG20" s="8"/>
      <c r="AH20" s="8"/>
      <c r="AI20" s="8"/>
      <c r="AJ20" s="9"/>
      <c r="AL20" s="16"/>
      <c r="AM20" s="8"/>
      <c r="AN20" s="8"/>
      <c r="AO20" s="8"/>
      <c r="AP20" s="9"/>
      <c r="AR20" s="16"/>
      <c r="AS20" s="8"/>
      <c r="AT20" s="8"/>
      <c r="AU20" s="8"/>
      <c r="AV20" s="9"/>
      <c r="AX20" s="16"/>
      <c r="AY20" s="8"/>
      <c r="AZ20" s="8"/>
      <c r="BA20" s="8"/>
      <c r="BB20" s="9"/>
      <c r="BD20" s="16"/>
      <c r="BE20" s="8"/>
      <c r="BF20" s="8"/>
      <c r="BG20" s="8"/>
      <c r="BH20" s="9"/>
    </row>
    <row r="21" spans="2:60" x14ac:dyDescent="0.25">
      <c r="B21" s="10"/>
      <c r="F21" s="11"/>
      <c r="H21" s="10"/>
      <c r="L21" s="11"/>
      <c r="N21" s="10"/>
      <c r="R21" s="11"/>
      <c r="T21" s="10"/>
      <c r="X21" s="11"/>
      <c r="Z21" s="10"/>
      <c r="AD21" s="11"/>
      <c r="AF21" s="10"/>
      <c r="AJ21" s="11"/>
      <c r="AL21" s="10"/>
      <c r="AP21" s="11"/>
      <c r="AR21" s="10"/>
      <c r="AV21" s="11"/>
      <c r="AX21" s="10"/>
      <c r="BB21" s="11"/>
      <c r="BD21" s="10"/>
      <c r="BG21" s="18"/>
      <c r="BH21" s="19"/>
    </row>
    <row r="22" spans="2:60" x14ac:dyDescent="0.25">
      <c r="B22" s="10"/>
      <c r="F22" s="11"/>
      <c r="H22" s="10"/>
      <c r="L22" s="11"/>
      <c r="N22" s="10"/>
      <c r="R22" s="11"/>
      <c r="T22" s="10"/>
      <c r="X22" s="11"/>
      <c r="Z22" s="10"/>
      <c r="AD22" s="11"/>
      <c r="AF22" s="10"/>
      <c r="AJ22" s="11"/>
      <c r="AL22" s="10"/>
      <c r="AP22" s="11"/>
      <c r="AR22" s="20"/>
      <c r="AS22" s="18"/>
      <c r="AV22" s="11"/>
      <c r="AX22" s="10"/>
      <c r="BB22" s="11"/>
      <c r="BD22" s="20"/>
      <c r="BE22" s="18"/>
      <c r="BG22" s="18"/>
      <c r="BH22" s="19"/>
    </row>
    <row r="23" spans="2:60" x14ac:dyDescent="0.25">
      <c r="B23" s="10"/>
      <c r="F23" s="11"/>
      <c r="H23" s="10"/>
      <c r="L23" s="11"/>
      <c r="N23" s="10"/>
      <c r="R23" s="11"/>
      <c r="T23" s="10"/>
      <c r="X23" s="11"/>
      <c r="Z23" s="10"/>
      <c r="AC23" s="18"/>
      <c r="AD23" s="19"/>
      <c r="AF23" s="10"/>
      <c r="AJ23" s="11"/>
      <c r="AL23" s="10"/>
      <c r="AO23" s="18"/>
      <c r="AP23" s="19"/>
      <c r="AR23" s="20"/>
      <c r="AS23" s="18"/>
      <c r="AV23" s="11"/>
      <c r="AX23" s="10"/>
      <c r="BA23" s="18"/>
      <c r="BB23" s="19"/>
      <c r="BD23" s="20"/>
      <c r="BE23" s="18"/>
      <c r="BG23" s="18"/>
      <c r="BH23" s="19"/>
    </row>
    <row r="24" spans="2:60" x14ac:dyDescent="0.25">
      <c r="B24" s="10"/>
      <c r="F24" s="11"/>
      <c r="H24" s="10"/>
      <c r="L24" s="11"/>
      <c r="N24" s="20"/>
      <c r="O24" s="18"/>
      <c r="R24" s="11"/>
      <c r="T24" s="10"/>
      <c r="X24" s="11"/>
      <c r="Z24" s="20"/>
      <c r="AA24" s="18"/>
      <c r="AC24" s="18"/>
      <c r="AD24" s="19"/>
      <c r="AF24" s="10"/>
      <c r="AJ24" s="11"/>
      <c r="AL24" s="20"/>
      <c r="AM24" s="18"/>
      <c r="AO24" s="18"/>
      <c r="AP24" s="19"/>
      <c r="AR24" s="20"/>
      <c r="AS24" s="18"/>
      <c r="AV24" s="11"/>
      <c r="AX24" s="20"/>
      <c r="AY24" s="18"/>
      <c r="BA24" s="18"/>
      <c r="BB24" s="19"/>
      <c r="BD24" s="20"/>
      <c r="BE24" s="18"/>
      <c r="BG24" s="18"/>
      <c r="BH24" s="19"/>
    </row>
    <row r="25" spans="2:60" x14ac:dyDescent="0.25">
      <c r="B25" s="10"/>
      <c r="F25" s="11"/>
      <c r="H25" s="10"/>
      <c r="L25" s="11"/>
      <c r="N25" s="20"/>
      <c r="O25" s="18"/>
      <c r="R25" s="11"/>
      <c r="T25" s="10"/>
      <c r="X25" s="11"/>
      <c r="Z25" s="20"/>
      <c r="AA25" s="18"/>
      <c r="AC25" s="18"/>
      <c r="AD25" s="19"/>
      <c r="AF25" s="10"/>
      <c r="AJ25" s="11"/>
      <c r="AL25" s="20"/>
      <c r="AM25" s="18"/>
      <c r="AO25" s="18"/>
      <c r="AP25" s="19"/>
      <c r="AR25" s="20"/>
      <c r="AS25" s="18"/>
      <c r="AV25" s="11"/>
      <c r="AX25" s="20"/>
      <c r="AY25" s="18"/>
      <c r="BA25" s="18"/>
      <c r="BB25" s="19"/>
      <c r="BD25" s="20"/>
      <c r="BE25" s="18"/>
      <c r="BG25" s="18"/>
      <c r="BH25" s="19"/>
    </row>
    <row r="26" spans="2:60" x14ac:dyDescent="0.25">
      <c r="B26" s="10"/>
      <c r="F26" s="11"/>
      <c r="H26" s="10"/>
      <c r="L26" s="11"/>
      <c r="N26" s="10"/>
      <c r="R26" s="11"/>
      <c r="T26" s="10"/>
      <c r="X26" s="11"/>
      <c r="Z26" s="10"/>
      <c r="AD26" s="11"/>
      <c r="AF26" s="10"/>
      <c r="AJ26" s="11"/>
      <c r="AL26" s="10"/>
      <c r="AP26" s="11"/>
      <c r="AR26" s="10"/>
      <c r="AV26" s="11"/>
      <c r="AX26" s="10"/>
      <c r="BB26" s="11"/>
      <c r="BD26" s="10"/>
      <c r="BH26" s="11"/>
    </row>
    <row r="27" spans="2:60" ht="15.75" thickBot="1" x14ac:dyDescent="0.3">
      <c r="B27" s="20"/>
      <c r="C27" s="18"/>
      <c r="D27" s="13"/>
      <c r="E27" s="17"/>
      <c r="F27" s="39"/>
      <c r="H27" s="22"/>
      <c r="I27" s="17"/>
      <c r="J27" s="13"/>
      <c r="K27" s="17"/>
      <c r="L27" s="39"/>
      <c r="N27" s="20"/>
      <c r="O27" s="18"/>
      <c r="P27" s="13"/>
      <c r="Q27" s="17"/>
      <c r="R27" s="39"/>
      <c r="T27" s="22"/>
      <c r="U27" s="17"/>
      <c r="V27" s="13"/>
      <c r="W27" s="17"/>
      <c r="X27" s="39"/>
      <c r="Z27" s="20"/>
      <c r="AA27" s="18"/>
      <c r="AB27" s="13"/>
      <c r="AC27" s="17"/>
      <c r="AD27" s="39"/>
      <c r="AF27" s="22"/>
      <c r="AG27" s="17"/>
      <c r="AH27" s="13"/>
      <c r="AI27" s="17"/>
      <c r="AJ27" s="39"/>
      <c r="AL27" s="20"/>
      <c r="AM27" s="18"/>
      <c r="AN27" s="13"/>
      <c r="AO27" s="17"/>
      <c r="AP27" s="39"/>
      <c r="AR27" s="22"/>
      <c r="AS27" s="17"/>
      <c r="AT27" s="13"/>
      <c r="AU27" s="17"/>
      <c r="AV27" s="39"/>
      <c r="AX27" s="20"/>
      <c r="AY27" s="18"/>
      <c r="AZ27" s="13"/>
      <c r="BA27" s="17"/>
      <c r="BB27" s="39"/>
      <c r="BD27" s="22"/>
      <c r="BE27" s="17"/>
      <c r="BF27" s="13"/>
      <c r="BG27" s="17"/>
      <c r="BH27" s="39"/>
    </row>
    <row r="28" spans="2:60" ht="36" customHeight="1" thickBot="1" x14ac:dyDescent="0.3"/>
    <row r="29" spans="2:60" x14ac:dyDescent="0.25">
      <c r="H29" s="16"/>
      <c r="I29" s="8"/>
      <c r="J29" s="8"/>
      <c r="K29" s="8"/>
      <c r="L29" s="9"/>
      <c r="T29" s="16"/>
      <c r="U29" s="8"/>
      <c r="V29" s="8"/>
      <c r="W29" s="8"/>
      <c r="X29" s="9"/>
      <c r="AF29" s="16"/>
      <c r="AG29" s="8"/>
      <c r="AH29" s="8"/>
      <c r="AI29" s="8"/>
      <c r="AJ29" s="9"/>
      <c r="AR29" s="16"/>
      <c r="AS29" s="8"/>
      <c r="AT29" s="8"/>
      <c r="AU29" s="8"/>
      <c r="AV29" s="9"/>
    </row>
    <row r="30" spans="2:60" x14ac:dyDescent="0.25">
      <c r="H30" s="10"/>
      <c r="L30" s="11"/>
      <c r="T30" s="10"/>
      <c r="X30" s="11"/>
      <c r="AF30" s="10"/>
      <c r="AJ30" s="11"/>
      <c r="AR30" s="10"/>
      <c r="AV30" s="19"/>
    </row>
    <row r="31" spans="2:60" x14ac:dyDescent="0.25">
      <c r="H31" s="10"/>
      <c r="L31" s="11"/>
      <c r="T31" s="10"/>
      <c r="X31" s="11"/>
      <c r="AF31" s="10"/>
      <c r="AJ31" s="11"/>
      <c r="AR31" s="10"/>
      <c r="AV31" s="19"/>
    </row>
    <row r="32" spans="2:60" x14ac:dyDescent="0.25">
      <c r="H32" s="10"/>
      <c r="L32" s="11"/>
      <c r="T32" s="10"/>
      <c r="X32" s="11"/>
      <c r="AF32" s="10"/>
      <c r="AH32" s="18"/>
      <c r="AJ32" s="11"/>
      <c r="AR32" s="10"/>
      <c r="AT32" s="18"/>
      <c r="AV32" s="19"/>
    </row>
    <row r="33" spans="8:48" x14ac:dyDescent="0.25">
      <c r="H33" s="10"/>
      <c r="L33" s="11"/>
      <c r="T33" s="10"/>
      <c r="X33" s="11"/>
      <c r="AF33" s="10"/>
      <c r="AH33" s="18"/>
      <c r="AJ33" s="11"/>
      <c r="AR33" s="10"/>
      <c r="AT33" s="18"/>
      <c r="AV33" s="19"/>
    </row>
    <row r="34" spans="8:48" x14ac:dyDescent="0.25">
      <c r="H34" s="10"/>
      <c r="L34" s="11"/>
      <c r="T34" s="20"/>
      <c r="X34" s="11"/>
      <c r="AF34" s="20"/>
      <c r="AH34" s="18"/>
      <c r="AJ34" s="11"/>
      <c r="AR34" s="20"/>
      <c r="AT34" s="18"/>
      <c r="AV34" s="19"/>
    </row>
    <row r="35" spans="8:48" x14ac:dyDescent="0.25">
      <c r="H35" s="10"/>
      <c r="L35" s="11"/>
      <c r="T35" s="20"/>
      <c r="X35" s="11"/>
      <c r="AF35" s="20"/>
      <c r="AH35" s="18"/>
      <c r="AJ35" s="11"/>
      <c r="AR35" s="20"/>
      <c r="AT35" s="18"/>
      <c r="AV35" s="19"/>
    </row>
    <row r="36" spans="8:48" ht="15.75" thickBot="1" x14ac:dyDescent="0.3">
      <c r="H36" s="12"/>
      <c r="I36" s="13"/>
      <c r="J36" s="13"/>
      <c r="K36" s="13"/>
      <c r="L36" s="15"/>
      <c r="T36" s="22"/>
      <c r="U36" s="13"/>
      <c r="V36" s="13"/>
      <c r="W36" s="13"/>
      <c r="X36" s="15"/>
      <c r="AF36" s="22"/>
      <c r="AG36" s="13"/>
      <c r="AH36" s="17"/>
      <c r="AI36" s="13"/>
      <c r="AJ36" s="15"/>
      <c r="AR36" s="22"/>
      <c r="AS36" s="13"/>
      <c r="AT36" s="17"/>
      <c r="AU36" s="13"/>
      <c r="AV36" s="39"/>
    </row>
    <row r="37" spans="8:48" ht="38.25" customHeight="1" thickBot="1" x14ac:dyDescent="0.3"/>
    <row r="38" spans="8:48" x14ac:dyDescent="0.25">
      <c r="H38" s="16"/>
      <c r="I38" s="8"/>
      <c r="J38" s="8"/>
      <c r="K38" s="8"/>
      <c r="L38" s="9"/>
      <c r="T38" s="16"/>
      <c r="U38" s="8"/>
      <c r="V38" s="8"/>
      <c r="W38" s="8"/>
      <c r="X38" s="9"/>
      <c r="AF38" s="16"/>
      <c r="AG38" s="8"/>
      <c r="AH38" s="8"/>
      <c r="AI38" s="8"/>
      <c r="AJ38" s="9"/>
      <c r="AR38" s="16"/>
      <c r="AS38" s="8"/>
      <c r="AT38" s="8"/>
      <c r="AU38" s="8"/>
      <c r="AV38" s="9"/>
    </row>
    <row r="39" spans="8:48" x14ac:dyDescent="0.25">
      <c r="H39" s="10"/>
      <c r="L39" s="11"/>
      <c r="T39" s="10"/>
      <c r="X39" s="11"/>
      <c r="AF39" s="10"/>
      <c r="AJ39" s="11"/>
      <c r="AR39" s="10"/>
      <c r="AV39" s="19"/>
    </row>
    <row r="40" spans="8:48" x14ac:dyDescent="0.25">
      <c r="H40" s="10"/>
      <c r="L40" s="11"/>
      <c r="T40" s="10"/>
      <c r="X40" s="11"/>
      <c r="AF40" s="10"/>
      <c r="AJ40" s="11"/>
      <c r="AR40" s="10"/>
      <c r="AV40" s="19"/>
    </row>
    <row r="41" spans="8:48" x14ac:dyDescent="0.25">
      <c r="H41" s="10"/>
      <c r="L41" s="11"/>
      <c r="T41" s="10"/>
      <c r="X41" s="11"/>
      <c r="AF41" s="10"/>
      <c r="AH41" s="18"/>
      <c r="AJ41" s="11"/>
      <c r="AR41" s="10"/>
      <c r="AT41" s="18"/>
      <c r="AV41" s="19"/>
    </row>
    <row r="42" spans="8:48" x14ac:dyDescent="0.25">
      <c r="H42" s="10"/>
      <c r="L42" s="11"/>
      <c r="T42" s="10"/>
      <c r="X42" s="11"/>
      <c r="AF42" s="10"/>
      <c r="AH42" s="18"/>
      <c r="AJ42" s="11"/>
      <c r="AR42" s="10"/>
      <c r="AT42" s="18"/>
      <c r="AV42" s="19"/>
    </row>
    <row r="43" spans="8:48" x14ac:dyDescent="0.25">
      <c r="H43" s="10"/>
      <c r="L43" s="11"/>
      <c r="T43" s="20"/>
      <c r="X43" s="11"/>
      <c r="AF43" s="20"/>
      <c r="AH43" s="18"/>
      <c r="AJ43" s="11"/>
      <c r="AR43" s="20"/>
      <c r="AT43" s="18"/>
      <c r="AV43" s="19"/>
    </row>
    <row r="44" spans="8:48" x14ac:dyDescent="0.25">
      <c r="H44" s="10"/>
      <c r="L44" s="11"/>
      <c r="T44" s="20"/>
      <c r="X44" s="11"/>
      <c r="AF44" s="20"/>
      <c r="AH44" s="18"/>
      <c r="AJ44" s="11"/>
      <c r="AR44" s="20"/>
      <c r="AT44" s="18"/>
      <c r="AV44" s="19"/>
    </row>
    <row r="45" spans="8:48" ht="15.75" thickBot="1" x14ac:dyDescent="0.3">
      <c r="H45" s="22"/>
      <c r="I45" s="13"/>
      <c r="J45" s="17"/>
      <c r="K45" s="13"/>
      <c r="L45" s="39"/>
      <c r="T45" s="22"/>
      <c r="U45" s="13"/>
      <c r="V45" s="17"/>
      <c r="W45" s="13"/>
      <c r="X45" s="39"/>
      <c r="AF45" s="22"/>
      <c r="AG45" s="13"/>
      <c r="AH45" s="17"/>
      <c r="AI45" s="13"/>
      <c r="AJ45" s="39"/>
      <c r="AR45" s="22"/>
      <c r="AS45" s="13"/>
      <c r="AT45" s="17"/>
      <c r="AU45" s="13"/>
      <c r="AV45" s="39"/>
    </row>
    <row r="46" spans="8:48" ht="45.75" customHeight="1" thickBot="1" x14ac:dyDescent="0.3"/>
    <row r="47" spans="8:48" x14ac:dyDescent="0.25">
      <c r="H47" s="16"/>
      <c r="I47" s="8"/>
      <c r="J47" s="8"/>
      <c r="K47" s="8"/>
      <c r="L47" s="9"/>
      <c r="T47" s="16"/>
      <c r="U47" s="8"/>
      <c r="V47" s="8"/>
      <c r="W47" s="8"/>
      <c r="X47" s="9"/>
      <c r="AF47" s="16"/>
      <c r="AG47" s="8"/>
      <c r="AH47" s="8"/>
      <c r="AI47" s="8"/>
      <c r="AJ47" s="9"/>
      <c r="AR47" s="16"/>
      <c r="AS47" s="8"/>
      <c r="AT47" s="8"/>
      <c r="AU47" s="8"/>
      <c r="AV47" s="9"/>
    </row>
    <row r="48" spans="8:48" x14ac:dyDescent="0.25">
      <c r="H48" s="10"/>
      <c r="L48" s="11"/>
      <c r="T48" s="10"/>
      <c r="X48" s="11"/>
      <c r="AF48" s="10"/>
      <c r="AJ48" s="11"/>
      <c r="AR48" s="10"/>
      <c r="AV48" s="19"/>
    </row>
    <row r="49" spans="8:48" x14ac:dyDescent="0.25">
      <c r="H49" s="10"/>
      <c r="L49" s="11"/>
      <c r="T49" s="10"/>
      <c r="X49" s="11"/>
      <c r="AF49" s="10"/>
      <c r="AJ49" s="11"/>
      <c r="AR49" s="10"/>
      <c r="AV49" s="19"/>
    </row>
    <row r="50" spans="8:48" x14ac:dyDescent="0.25">
      <c r="H50" s="10"/>
      <c r="L50" s="11"/>
      <c r="T50" s="10"/>
      <c r="X50" s="11"/>
      <c r="AF50" s="10"/>
      <c r="AH50" s="18"/>
      <c r="AJ50" s="11"/>
      <c r="AR50" s="10"/>
      <c r="AT50" s="18"/>
      <c r="AV50" s="19"/>
    </row>
    <row r="51" spans="8:48" x14ac:dyDescent="0.25">
      <c r="H51" s="10"/>
      <c r="L51" s="11"/>
      <c r="T51" s="10"/>
      <c r="X51" s="11"/>
      <c r="AF51" s="10"/>
      <c r="AH51" s="18"/>
      <c r="AJ51" s="11"/>
      <c r="AR51" s="10"/>
      <c r="AT51" s="18"/>
      <c r="AV51" s="19"/>
    </row>
    <row r="52" spans="8:48" x14ac:dyDescent="0.25">
      <c r="H52" s="10"/>
      <c r="L52" s="11"/>
      <c r="T52" s="20"/>
      <c r="X52" s="11"/>
      <c r="AF52" s="20"/>
      <c r="AH52" s="18"/>
      <c r="AJ52" s="11"/>
      <c r="AR52" s="20"/>
      <c r="AT52" s="18"/>
      <c r="AV52" s="19"/>
    </row>
    <row r="53" spans="8:48" x14ac:dyDescent="0.25">
      <c r="H53" s="10"/>
      <c r="L53" s="11"/>
      <c r="T53" s="20"/>
      <c r="X53" s="11"/>
      <c r="AF53" s="20"/>
      <c r="AH53" s="18"/>
      <c r="AJ53" s="11"/>
      <c r="AR53" s="20"/>
      <c r="AT53" s="18"/>
      <c r="AV53" s="19"/>
    </row>
    <row r="54" spans="8:48" ht="17.25" customHeight="1" thickBot="1" x14ac:dyDescent="0.3">
      <c r="H54" s="22"/>
      <c r="I54" s="17"/>
      <c r="J54" s="17"/>
      <c r="K54" s="17"/>
      <c r="L54" s="39"/>
      <c r="T54" s="22"/>
      <c r="U54" s="17"/>
      <c r="V54" s="17"/>
      <c r="W54" s="17"/>
      <c r="X54" s="39"/>
      <c r="AF54" s="22"/>
      <c r="AG54" s="17"/>
      <c r="AH54" s="17"/>
      <c r="AI54" s="17"/>
      <c r="AJ54" s="39"/>
      <c r="AR54" s="22"/>
      <c r="AS54" s="17"/>
      <c r="AT54" s="17"/>
      <c r="AU54" s="17"/>
      <c r="AV54" s="39"/>
    </row>
    <row r="55" spans="8:48" ht="51.75" customHeight="1" thickBot="1" x14ac:dyDescent="0.3"/>
    <row r="56" spans="8:48" x14ac:dyDescent="0.25">
      <c r="H56" s="16"/>
      <c r="I56" s="8"/>
      <c r="J56" s="8"/>
      <c r="K56" s="8"/>
      <c r="L56" s="9"/>
      <c r="T56" s="16"/>
      <c r="U56" s="8"/>
      <c r="V56" s="8"/>
      <c r="W56" s="8"/>
      <c r="X56" s="9"/>
      <c r="AF56" s="16"/>
      <c r="AG56" s="8"/>
      <c r="AH56" s="8"/>
      <c r="AI56" s="8"/>
      <c r="AJ56" s="9"/>
      <c r="AR56" s="16"/>
      <c r="AS56" s="8"/>
      <c r="AT56" s="8"/>
      <c r="AU56" s="8"/>
      <c r="AV56" s="23"/>
    </row>
    <row r="57" spans="8:48" x14ac:dyDescent="0.25">
      <c r="H57" s="10"/>
      <c r="L57" s="11"/>
      <c r="T57" s="10"/>
      <c r="X57" s="11"/>
      <c r="AF57" s="10"/>
      <c r="AJ57" s="11"/>
      <c r="AR57" s="10"/>
      <c r="AV57" s="19"/>
    </row>
    <row r="58" spans="8:48" x14ac:dyDescent="0.25">
      <c r="H58" s="10"/>
      <c r="L58" s="11"/>
      <c r="T58" s="10"/>
      <c r="X58" s="11"/>
      <c r="AF58" s="10"/>
      <c r="AJ58" s="11"/>
      <c r="AR58" s="10"/>
      <c r="AT58" s="18"/>
      <c r="AV58" s="19"/>
    </row>
    <row r="59" spans="8:48" x14ac:dyDescent="0.25">
      <c r="H59" s="10"/>
      <c r="L59" s="11"/>
      <c r="T59" s="10"/>
      <c r="X59" s="11"/>
      <c r="AF59" s="10"/>
      <c r="AH59" s="18"/>
      <c r="AJ59" s="11"/>
      <c r="AR59" s="10"/>
      <c r="AT59" s="18"/>
      <c r="AV59" s="19"/>
    </row>
    <row r="60" spans="8:48" x14ac:dyDescent="0.25">
      <c r="H60" s="10"/>
      <c r="L60" s="11"/>
      <c r="T60" s="20"/>
      <c r="X60" s="11"/>
      <c r="AF60" s="20"/>
      <c r="AH60" s="18"/>
      <c r="AJ60" s="11"/>
      <c r="AR60" s="20"/>
      <c r="AT60" s="18"/>
      <c r="AV60" s="19"/>
    </row>
    <row r="61" spans="8:48" x14ac:dyDescent="0.25">
      <c r="H61" s="10"/>
      <c r="L61" s="11"/>
      <c r="T61" s="20"/>
      <c r="X61" s="11"/>
      <c r="AF61" s="20"/>
      <c r="AH61" s="18"/>
      <c r="AJ61" s="11"/>
      <c r="AR61" s="20"/>
      <c r="AT61" s="18"/>
      <c r="AV61" s="19"/>
    </row>
    <row r="62" spans="8:48" x14ac:dyDescent="0.25">
      <c r="H62" s="10"/>
      <c r="L62" s="11"/>
      <c r="T62" s="10"/>
      <c r="X62" s="11"/>
      <c r="AF62" s="10"/>
      <c r="AJ62" s="11"/>
      <c r="AR62" s="10"/>
      <c r="AV62" s="11"/>
    </row>
    <row r="63" spans="8:48" ht="15.75" thickBot="1" x14ac:dyDescent="0.3">
      <c r="H63" s="22"/>
      <c r="I63" s="17"/>
      <c r="J63" s="17"/>
      <c r="K63" s="17"/>
      <c r="L63" s="39"/>
      <c r="T63" s="22"/>
      <c r="U63" s="17"/>
      <c r="V63" s="17"/>
      <c r="W63" s="17"/>
      <c r="X63" s="39"/>
      <c r="AF63" s="22"/>
      <c r="AG63" s="17"/>
      <c r="AH63" s="17"/>
      <c r="AI63" s="17"/>
      <c r="AJ63" s="39"/>
      <c r="AR63" s="22"/>
      <c r="AS63" s="17"/>
      <c r="AT63" s="17"/>
      <c r="AU63" s="17"/>
      <c r="AV63" s="39"/>
    </row>
    <row r="64" spans="8:48" ht="36" customHeight="1" thickBot="1" x14ac:dyDescent="0.3"/>
    <row r="65" spans="2:60" x14ac:dyDescent="0.25">
      <c r="H65" s="16"/>
      <c r="I65" s="8"/>
      <c r="J65" s="8"/>
      <c r="K65" s="8"/>
      <c r="L65" s="9"/>
      <c r="T65" s="16"/>
      <c r="U65" s="8"/>
      <c r="V65" s="8"/>
      <c r="W65" s="8"/>
      <c r="X65" s="9"/>
      <c r="AF65" s="16"/>
      <c r="AG65" s="8"/>
      <c r="AH65" s="8"/>
      <c r="AI65" s="8"/>
      <c r="AJ65" s="9"/>
      <c r="AR65" s="16"/>
      <c r="AS65" s="8"/>
      <c r="AT65" s="8"/>
      <c r="AU65" s="8"/>
      <c r="AV65" s="23"/>
    </row>
    <row r="66" spans="2:60" x14ac:dyDescent="0.25">
      <c r="H66" s="10"/>
      <c r="L66" s="11"/>
      <c r="T66" s="10"/>
      <c r="X66" s="11"/>
      <c r="AF66" s="10"/>
      <c r="AJ66" s="11"/>
      <c r="AR66" s="10"/>
      <c r="AV66" s="19"/>
    </row>
    <row r="67" spans="2:60" x14ac:dyDescent="0.25">
      <c r="H67" s="10"/>
      <c r="L67" s="11"/>
      <c r="T67" s="10"/>
      <c r="X67" s="11"/>
      <c r="AF67" s="10"/>
      <c r="AH67" s="18"/>
      <c r="AJ67" s="11"/>
      <c r="AR67" s="10"/>
      <c r="AT67" s="18"/>
      <c r="AV67" s="19"/>
    </row>
    <row r="68" spans="2:60" x14ac:dyDescent="0.25">
      <c r="H68" s="10"/>
      <c r="L68" s="11"/>
      <c r="T68" s="10"/>
      <c r="X68" s="11"/>
      <c r="AF68" s="10"/>
      <c r="AH68" s="18"/>
      <c r="AJ68" s="11"/>
      <c r="AR68" s="10"/>
      <c r="AT68" s="18"/>
      <c r="AV68" s="19"/>
    </row>
    <row r="69" spans="2:60" x14ac:dyDescent="0.25">
      <c r="H69" s="10"/>
      <c r="L69" s="11"/>
      <c r="T69" s="20"/>
      <c r="X69" s="11"/>
      <c r="AF69" s="20"/>
      <c r="AH69" s="18"/>
      <c r="AJ69" s="11"/>
      <c r="AR69" s="20"/>
      <c r="AT69" s="18"/>
      <c r="AV69" s="19"/>
    </row>
    <row r="70" spans="2:60" x14ac:dyDescent="0.25">
      <c r="H70" s="10"/>
      <c r="L70" s="11"/>
      <c r="T70" s="20"/>
      <c r="X70" s="11"/>
      <c r="AF70" s="20"/>
      <c r="AH70" s="18"/>
      <c r="AJ70" s="11"/>
      <c r="AR70" s="20"/>
      <c r="AT70" s="18"/>
      <c r="AV70" s="19"/>
    </row>
    <row r="71" spans="2:60" x14ac:dyDescent="0.25">
      <c r="H71" s="10"/>
      <c r="L71" s="11"/>
      <c r="T71" s="20"/>
      <c r="X71" s="11"/>
      <c r="AF71" s="20"/>
      <c r="AH71" s="18"/>
      <c r="AJ71" s="11"/>
      <c r="AR71" s="20"/>
      <c r="AT71" s="18"/>
      <c r="AV71" s="19"/>
    </row>
    <row r="72" spans="2:60" ht="15.75" thickBot="1" x14ac:dyDescent="0.3">
      <c r="H72" s="12"/>
      <c r="I72" s="13"/>
      <c r="J72" s="13"/>
      <c r="K72" s="13"/>
      <c r="L72" s="15"/>
      <c r="T72" s="22"/>
      <c r="U72" s="13"/>
      <c r="V72" s="13"/>
      <c r="W72" s="13"/>
      <c r="X72" s="15"/>
      <c r="AF72" s="22"/>
      <c r="AG72" s="13"/>
      <c r="AH72" s="17"/>
      <c r="AI72" s="13"/>
      <c r="AJ72" s="15"/>
      <c r="AR72" s="22"/>
      <c r="AS72" s="13"/>
      <c r="AT72" s="17"/>
      <c r="AU72" s="13"/>
      <c r="AV72" s="39"/>
    </row>
    <row r="73" spans="2:60" ht="45.75" customHeight="1" thickBot="1" x14ac:dyDescent="0.3"/>
    <row r="74" spans="2:60" x14ac:dyDescent="0.25">
      <c r="B74" s="16"/>
      <c r="C74" s="21"/>
      <c r="D74" s="21"/>
      <c r="E74" s="21"/>
      <c r="F74" s="9"/>
      <c r="H74" s="16"/>
      <c r="I74" s="21"/>
      <c r="J74" s="21"/>
      <c r="K74" s="21"/>
      <c r="L74" s="9"/>
      <c r="N74" s="16"/>
      <c r="O74" s="21"/>
      <c r="P74" s="21"/>
      <c r="Q74" s="21"/>
      <c r="R74" s="9"/>
      <c r="T74" s="16"/>
      <c r="U74" s="21"/>
      <c r="V74" s="21"/>
      <c r="W74" s="21"/>
      <c r="X74" s="9"/>
      <c r="Z74" s="16"/>
      <c r="AA74" s="21"/>
      <c r="AB74" s="21"/>
      <c r="AC74" s="21"/>
      <c r="AD74" s="9"/>
      <c r="AF74" s="16"/>
      <c r="AG74" s="21"/>
      <c r="AH74" s="21"/>
      <c r="AI74" s="21"/>
      <c r="AJ74" s="9"/>
      <c r="AL74" s="16"/>
      <c r="AM74" s="21"/>
      <c r="AN74" s="21"/>
      <c r="AO74" s="21"/>
      <c r="AP74" s="9"/>
      <c r="AR74" s="16"/>
      <c r="AS74" s="8"/>
      <c r="AT74" s="21"/>
      <c r="AU74" s="8"/>
      <c r="AV74" s="9"/>
      <c r="AX74" s="16"/>
      <c r="AY74" s="8"/>
      <c r="AZ74" s="8"/>
      <c r="BA74" s="23"/>
      <c r="BB74" s="9"/>
      <c r="BD74" s="16"/>
      <c r="BE74" s="8"/>
      <c r="BF74" s="8"/>
      <c r="BG74" s="23"/>
      <c r="BH74" s="9"/>
    </row>
    <row r="75" spans="2:60" x14ac:dyDescent="0.25">
      <c r="B75" s="20"/>
      <c r="C75" s="18"/>
      <c r="E75" s="18"/>
      <c r="F75" s="32"/>
      <c r="H75" s="20"/>
      <c r="I75" s="18"/>
      <c r="K75" s="18"/>
      <c r="L75" s="32"/>
      <c r="N75" s="20"/>
      <c r="O75" s="18"/>
      <c r="Q75" s="18"/>
      <c r="R75" s="32"/>
      <c r="T75" s="20"/>
      <c r="U75" s="18"/>
      <c r="W75" s="18"/>
      <c r="X75" s="32"/>
      <c r="Z75" s="20"/>
      <c r="AA75" s="18"/>
      <c r="AC75" s="18"/>
      <c r="AD75" s="32"/>
      <c r="AF75" s="20"/>
      <c r="AG75" s="18"/>
      <c r="AH75" s="42"/>
      <c r="AI75" s="18"/>
      <c r="AJ75" s="32"/>
      <c r="AL75" s="20"/>
      <c r="AM75" s="18"/>
      <c r="AN75" s="18"/>
      <c r="AO75" s="18"/>
      <c r="AP75" s="32"/>
      <c r="AR75" s="10"/>
      <c r="AT75" s="18"/>
      <c r="AU75" s="18"/>
      <c r="AV75" s="26"/>
      <c r="AX75" s="10"/>
      <c r="AZ75" s="18"/>
      <c r="BA75" s="18"/>
      <c r="BB75" s="26"/>
      <c r="BD75" s="10"/>
      <c r="BF75" s="18"/>
      <c r="BH75" s="26"/>
    </row>
    <row r="76" spans="2:60" x14ac:dyDescent="0.25">
      <c r="B76" s="20"/>
      <c r="F76" s="32"/>
      <c r="H76" s="20"/>
      <c r="L76" s="32"/>
      <c r="N76" s="20"/>
      <c r="R76" s="32"/>
      <c r="T76" s="20"/>
      <c r="X76" s="32"/>
      <c r="Z76" s="20"/>
      <c r="AD76" s="32"/>
      <c r="AF76" s="20"/>
      <c r="AG76" s="18"/>
      <c r="AH76" s="18"/>
      <c r="AI76" s="18"/>
      <c r="AJ76" s="32"/>
      <c r="AL76" s="20"/>
      <c r="AM76" s="18"/>
      <c r="AN76" s="18"/>
      <c r="AO76" s="18"/>
      <c r="AP76" s="32"/>
      <c r="AR76" s="20"/>
      <c r="AT76" s="18"/>
      <c r="AV76" s="32"/>
      <c r="AX76" s="10"/>
      <c r="AY76" s="18"/>
      <c r="AZ76" s="18"/>
      <c r="BB76" s="26"/>
      <c r="BD76" s="10"/>
      <c r="BE76" s="18"/>
      <c r="BF76" s="18"/>
      <c r="BH76" s="26"/>
    </row>
    <row r="77" spans="2:60" x14ac:dyDescent="0.25">
      <c r="B77" s="20"/>
      <c r="F77" s="32"/>
      <c r="H77" s="20"/>
      <c r="L77" s="32"/>
      <c r="N77" s="20"/>
      <c r="R77" s="32"/>
      <c r="T77" s="20"/>
      <c r="X77" s="32"/>
      <c r="Z77" s="20"/>
      <c r="AA77" s="18"/>
      <c r="AB77" s="18"/>
      <c r="AC77" s="18"/>
      <c r="AD77" s="32"/>
      <c r="AF77" s="20"/>
      <c r="AG77" s="18"/>
      <c r="AH77" s="18"/>
      <c r="AI77" s="18"/>
      <c r="AJ77" s="32"/>
      <c r="AL77" s="20"/>
      <c r="AM77" s="18"/>
      <c r="AN77" s="18"/>
      <c r="AO77" s="18"/>
      <c r="AP77" s="32"/>
      <c r="AR77" s="10"/>
      <c r="AS77" s="18"/>
      <c r="AT77" s="18"/>
      <c r="AU77" s="18"/>
      <c r="AV77" s="26"/>
      <c r="AX77" s="20"/>
      <c r="AY77" s="18"/>
      <c r="AZ77" s="18"/>
      <c r="BB77" s="26"/>
      <c r="BD77" s="20"/>
      <c r="BE77" s="18"/>
      <c r="BF77" s="18"/>
      <c r="BH77" s="26"/>
    </row>
    <row r="78" spans="2:60" x14ac:dyDescent="0.25">
      <c r="B78" s="20"/>
      <c r="F78" s="32"/>
      <c r="H78" s="20"/>
      <c r="L78" s="32"/>
      <c r="N78" s="20"/>
      <c r="R78" s="32"/>
      <c r="T78" s="20"/>
      <c r="U78" s="18"/>
      <c r="V78" s="18"/>
      <c r="W78" s="18"/>
      <c r="X78" s="32"/>
      <c r="Z78" s="20"/>
      <c r="AA78" s="18"/>
      <c r="AB78" s="18"/>
      <c r="AC78" s="18"/>
      <c r="AD78" s="32"/>
      <c r="AF78" s="20"/>
      <c r="AG78" s="18"/>
      <c r="AH78" s="18"/>
      <c r="AI78" s="18"/>
      <c r="AJ78" s="32"/>
      <c r="AL78" s="20"/>
      <c r="AM78" s="18"/>
      <c r="AN78" s="18"/>
      <c r="AO78" s="18"/>
      <c r="AP78" s="32"/>
      <c r="AR78" s="20"/>
      <c r="AT78" s="18"/>
      <c r="AV78" s="32"/>
      <c r="AX78" s="10"/>
      <c r="AZ78" s="18"/>
      <c r="BA78" s="18"/>
      <c r="BB78" s="32"/>
      <c r="BD78" s="10"/>
      <c r="BF78" s="18"/>
      <c r="BG78" s="18"/>
      <c r="BH78" s="32"/>
    </row>
    <row r="79" spans="2:60" x14ac:dyDescent="0.25">
      <c r="B79" s="20"/>
      <c r="F79" s="32"/>
      <c r="H79" s="20"/>
      <c r="L79" s="32"/>
      <c r="N79" s="20"/>
      <c r="O79" s="18"/>
      <c r="P79" s="18"/>
      <c r="Q79" s="18"/>
      <c r="R79" s="32"/>
      <c r="T79" s="20"/>
      <c r="U79" s="18"/>
      <c r="V79" s="18"/>
      <c r="W79" s="18"/>
      <c r="X79" s="32"/>
      <c r="Z79" s="20"/>
      <c r="AA79" s="18"/>
      <c r="AB79" s="18"/>
      <c r="AC79" s="18"/>
      <c r="AD79" s="32"/>
      <c r="AF79" s="20"/>
      <c r="AG79" s="18"/>
      <c r="AH79" s="18"/>
      <c r="AI79" s="18"/>
      <c r="AJ79" s="32"/>
      <c r="AL79" s="20"/>
      <c r="AM79" s="18"/>
      <c r="AN79" s="18"/>
      <c r="AO79" s="18"/>
      <c r="AP79" s="32"/>
      <c r="AR79" s="10"/>
      <c r="AT79" s="18"/>
      <c r="AU79" s="18"/>
      <c r="AV79" s="26"/>
      <c r="AX79" s="10"/>
      <c r="AZ79" s="18"/>
      <c r="BA79" s="18"/>
      <c r="BB79" s="26"/>
      <c r="BD79" s="10"/>
      <c r="BF79" s="18"/>
      <c r="BG79" s="18"/>
      <c r="BH79" s="26"/>
    </row>
    <row r="80" spans="2:60" x14ac:dyDescent="0.25">
      <c r="B80" s="20"/>
      <c r="F80" s="32"/>
      <c r="H80" s="20"/>
      <c r="I80" s="18"/>
      <c r="J80" s="18"/>
      <c r="K80" s="18"/>
      <c r="L80" s="32"/>
      <c r="N80" s="20"/>
      <c r="O80" s="18"/>
      <c r="P80" s="18"/>
      <c r="Q80" s="18"/>
      <c r="R80" s="32"/>
      <c r="T80" s="20"/>
      <c r="U80" s="18"/>
      <c r="V80" s="18"/>
      <c r="W80" s="18"/>
      <c r="X80" s="32"/>
      <c r="Z80" s="20"/>
      <c r="AA80" s="18"/>
      <c r="AB80" s="18"/>
      <c r="AC80" s="18"/>
      <c r="AD80" s="32"/>
      <c r="AF80" s="20"/>
      <c r="AG80" s="18"/>
      <c r="AH80" s="18"/>
      <c r="AI80" s="18"/>
      <c r="AJ80" s="32"/>
      <c r="AL80" s="20"/>
      <c r="AM80" s="18"/>
      <c r="AN80" s="18"/>
      <c r="AO80" s="18"/>
      <c r="AP80" s="32"/>
      <c r="AR80" s="10"/>
      <c r="AT80" s="18"/>
      <c r="AV80" s="26"/>
      <c r="AX80" s="10"/>
      <c r="AY80" s="18"/>
      <c r="AZ80" s="18"/>
      <c r="BB80" s="26"/>
      <c r="BD80" s="10"/>
      <c r="BF80" s="18"/>
      <c r="BH80" s="26"/>
    </row>
    <row r="81" spans="2:60" ht="15.75" thickBot="1" x14ac:dyDescent="0.3">
      <c r="B81" s="22"/>
      <c r="C81" s="17"/>
      <c r="D81" s="17"/>
      <c r="E81" s="17"/>
      <c r="F81" s="31"/>
      <c r="H81" s="22"/>
      <c r="I81" s="17"/>
      <c r="J81" s="17"/>
      <c r="K81" s="17"/>
      <c r="L81" s="31"/>
      <c r="N81" s="22"/>
      <c r="O81" s="17"/>
      <c r="P81" s="17"/>
      <c r="Q81" s="17"/>
      <c r="R81" s="31"/>
      <c r="T81" s="22"/>
      <c r="U81" s="17"/>
      <c r="V81" s="17"/>
      <c r="W81" s="17"/>
      <c r="X81" s="31"/>
      <c r="Z81" s="22"/>
      <c r="AA81" s="17"/>
      <c r="AB81" s="17"/>
      <c r="AC81" s="17"/>
      <c r="AD81" s="31"/>
      <c r="AF81" s="22"/>
      <c r="AG81" s="17"/>
      <c r="AH81" s="17"/>
      <c r="AI81" s="17"/>
      <c r="AJ81" s="31"/>
      <c r="AL81" s="22"/>
      <c r="AM81" s="17"/>
      <c r="AN81" s="17"/>
      <c r="AO81" s="17"/>
      <c r="AP81" s="31"/>
      <c r="AR81" s="12"/>
      <c r="AS81" s="13"/>
      <c r="AT81" s="13"/>
      <c r="AU81" s="13"/>
      <c r="AV81" s="25"/>
      <c r="AX81" s="12"/>
      <c r="AY81" s="17"/>
      <c r="AZ81" s="13"/>
      <c r="BA81" s="13"/>
      <c r="BB81" s="25"/>
      <c r="BD81" s="12"/>
      <c r="BE81" s="17"/>
      <c r="BF81" s="13"/>
      <c r="BG81" s="13"/>
      <c r="BH81" s="25"/>
    </row>
    <row r="82" spans="2:60" x14ac:dyDescent="0.25">
      <c r="AT82" s="30"/>
      <c r="AZ82" s="30"/>
    </row>
    <row r="83" spans="2:60" ht="15.75" thickBot="1" x14ac:dyDescent="0.3"/>
    <row r="84" spans="2:60" x14ac:dyDescent="0.25">
      <c r="H84" s="24"/>
      <c r="I84" s="21"/>
      <c r="J84" s="21"/>
      <c r="K84" s="8"/>
      <c r="L84" s="9"/>
      <c r="N84" s="24"/>
      <c r="O84" s="21"/>
      <c r="P84" s="38"/>
      <c r="Q84" s="8"/>
      <c r="R84" s="9"/>
      <c r="T84" s="24"/>
      <c r="U84" s="21"/>
      <c r="V84" s="38"/>
      <c r="W84" s="8"/>
      <c r="X84" s="9"/>
      <c r="Z84" s="34"/>
      <c r="AA84" s="35"/>
      <c r="AB84" s="38"/>
      <c r="AC84" s="8"/>
      <c r="AD84" s="9"/>
      <c r="AL84" s="16"/>
      <c r="AM84" s="24"/>
      <c r="AN84" s="21"/>
      <c r="AO84" s="21"/>
      <c r="AP84" s="9"/>
      <c r="AR84" s="29"/>
      <c r="AS84" s="28"/>
      <c r="AT84" s="21"/>
      <c r="AU84" s="21"/>
      <c r="AV84" s="9"/>
    </row>
    <row r="85" spans="2:60" x14ac:dyDescent="0.25">
      <c r="H85" s="20"/>
      <c r="I85" s="37"/>
      <c r="J85" s="18"/>
      <c r="L85" s="26"/>
      <c r="N85" s="20"/>
      <c r="O85" s="18"/>
      <c r="P85" s="37"/>
      <c r="Q85" s="33"/>
      <c r="R85" s="32"/>
      <c r="T85" s="20"/>
      <c r="U85" s="18"/>
      <c r="V85" s="37"/>
      <c r="W85" s="27"/>
      <c r="X85" s="26"/>
      <c r="Z85" s="10"/>
      <c r="AB85" s="18"/>
      <c r="AC85" s="33"/>
      <c r="AD85" s="26"/>
      <c r="AL85" s="10"/>
      <c r="AM85" s="20"/>
      <c r="AN85" s="37"/>
      <c r="AO85" s="18"/>
      <c r="AP85" s="26"/>
      <c r="AR85" s="20"/>
      <c r="AU85" s="27"/>
      <c r="AV85" s="32"/>
    </row>
    <row r="86" spans="2:60" x14ac:dyDescent="0.25">
      <c r="H86" s="20"/>
      <c r="I86" s="18"/>
      <c r="J86" s="18"/>
      <c r="L86" s="26"/>
      <c r="N86" s="36"/>
      <c r="O86" s="37"/>
      <c r="P86" s="18"/>
      <c r="R86" s="26"/>
      <c r="T86" s="36"/>
      <c r="U86" s="37"/>
      <c r="W86" s="18"/>
      <c r="X86" s="32"/>
      <c r="Z86" s="36"/>
      <c r="AA86" s="18"/>
      <c r="AD86" s="32"/>
      <c r="AL86" s="10"/>
      <c r="AM86" s="20"/>
      <c r="AN86" s="18"/>
      <c r="AO86" s="18"/>
      <c r="AP86" s="26"/>
      <c r="AR86" s="20"/>
      <c r="AV86" s="26"/>
    </row>
    <row r="87" spans="2:60" x14ac:dyDescent="0.25">
      <c r="H87" s="10"/>
      <c r="L87" s="26"/>
      <c r="N87" s="10"/>
      <c r="P87" s="18"/>
      <c r="R87" s="26"/>
      <c r="T87" s="10"/>
      <c r="V87" s="18"/>
      <c r="X87" s="26"/>
      <c r="Z87" s="10"/>
      <c r="AA87" s="18"/>
      <c r="AD87" s="26"/>
      <c r="AL87" s="10"/>
      <c r="AP87" s="26"/>
      <c r="AR87" s="20"/>
      <c r="AV87" s="26"/>
    </row>
    <row r="88" spans="2:60" x14ac:dyDescent="0.25">
      <c r="H88" s="10"/>
      <c r="L88" s="26"/>
      <c r="N88" s="10"/>
      <c r="P88" s="18"/>
      <c r="R88" s="26"/>
      <c r="T88" s="10"/>
      <c r="V88" s="18"/>
      <c r="X88" s="26"/>
      <c r="Z88" s="10"/>
      <c r="AA88" s="18"/>
      <c r="AD88" s="26"/>
      <c r="AL88" s="10"/>
      <c r="AP88" s="26"/>
      <c r="AR88" s="20"/>
      <c r="AV88" s="26"/>
    </row>
    <row r="89" spans="2:60" x14ac:dyDescent="0.25">
      <c r="H89" s="10"/>
      <c r="L89" s="26"/>
      <c r="N89" s="10"/>
      <c r="P89" s="18"/>
      <c r="R89" s="26"/>
      <c r="T89" s="10"/>
      <c r="V89" s="18"/>
      <c r="X89" s="26"/>
      <c r="Z89" s="10"/>
      <c r="AA89" s="18"/>
      <c r="AD89" s="32"/>
      <c r="AL89" s="10"/>
      <c r="AP89" s="26"/>
      <c r="AR89" s="20"/>
      <c r="AV89" s="32"/>
    </row>
    <row r="90" spans="2:60" x14ac:dyDescent="0.25">
      <c r="H90" s="10"/>
      <c r="L90" s="26"/>
      <c r="N90" s="10"/>
      <c r="Q90" s="18"/>
      <c r="R90" s="32"/>
      <c r="T90" s="10"/>
      <c r="W90" s="18"/>
      <c r="X90" s="32"/>
      <c r="Z90" s="10"/>
      <c r="AB90" s="18"/>
      <c r="AC90" s="18"/>
      <c r="AD90" s="26"/>
      <c r="AL90" s="10"/>
      <c r="AP90" s="26"/>
      <c r="AR90" s="10"/>
      <c r="AS90" s="18"/>
      <c r="AT90" s="18"/>
      <c r="AU90" s="18"/>
      <c r="AV90" s="26"/>
    </row>
    <row r="91" spans="2:60" ht="15.75" thickBot="1" x14ac:dyDescent="0.3">
      <c r="H91" s="12"/>
      <c r="I91" s="13"/>
      <c r="J91" s="13"/>
      <c r="K91" s="13"/>
      <c r="L91" s="25"/>
      <c r="N91" s="12"/>
      <c r="O91" s="13"/>
      <c r="P91" s="13"/>
      <c r="Q91" s="13"/>
      <c r="R91" s="25"/>
      <c r="T91" s="12"/>
      <c r="U91" s="13"/>
      <c r="V91" s="13"/>
      <c r="W91" s="13"/>
      <c r="X91" s="25"/>
      <c r="Z91" s="12"/>
      <c r="AA91" s="13"/>
      <c r="AB91" s="13"/>
      <c r="AC91" s="13"/>
      <c r="AD91" s="25"/>
      <c r="AL91" s="12"/>
      <c r="AM91" s="13"/>
      <c r="AN91" s="13"/>
      <c r="AO91" s="13"/>
      <c r="AP91" s="25"/>
      <c r="AR91" s="12"/>
      <c r="AS91" s="13"/>
      <c r="AT91" s="13"/>
      <c r="AU91" s="13"/>
      <c r="AV91" s="25"/>
    </row>
    <row r="92" spans="2:60" ht="15.75" thickBot="1" x14ac:dyDescent="0.3">
      <c r="AB92" s="30"/>
    </row>
    <row r="93" spans="2:60" x14ac:dyDescent="0.25">
      <c r="H93" s="16"/>
      <c r="I93" s="8"/>
      <c r="J93" s="8"/>
      <c r="K93" s="8"/>
      <c r="L93" s="9"/>
      <c r="N93" s="16"/>
      <c r="O93" s="8"/>
      <c r="P93" s="8"/>
      <c r="Q93" s="8"/>
      <c r="R93" s="9"/>
      <c r="T93" s="16"/>
      <c r="U93" s="8"/>
      <c r="V93" s="8"/>
      <c r="W93" s="8"/>
      <c r="X93" s="9"/>
      <c r="AL93" s="29"/>
      <c r="AM93" s="35"/>
      <c r="AN93" s="8"/>
      <c r="AO93" s="8"/>
      <c r="AP93" s="9"/>
      <c r="AR93" s="29"/>
      <c r="AS93" s="35"/>
      <c r="AT93" s="8"/>
      <c r="AU93" s="8"/>
      <c r="AV93" s="9"/>
      <c r="AX93" s="29"/>
      <c r="AY93" s="28"/>
      <c r="AZ93" s="21"/>
      <c r="BA93" s="21"/>
      <c r="BB93" s="9"/>
      <c r="BD93" s="29"/>
      <c r="BE93" s="28"/>
      <c r="BF93" s="21"/>
      <c r="BG93" s="21"/>
      <c r="BH93" s="9"/>
    </row>
    <row r="94" spans="2:60" x14ac:dyDescent="0.25">
      <c r="H94" s="10"/>
      <c r="I94" s="18"/>
      <c r="K94" s="18"/>
      <c r="L94" s="26"/>
      <c r="N94" s="10"/>
      <c r="O94" s="18"/>
      <c r="Q94" s="18"/>
      <c r="R94" s="26"/>
      <c r="T94" s="10"/>
      <c r="U94" s="18"/>
      <c r="W94" s="18"/>
      <c r="X94" s="26"/>
      <c r="AL94" s="10"/>
      <c r="AM94" s="18"/>
      <c r="AN94" s="18"/>
      <c r="AO94" s="33"/>
      <c r="AP94" s="26"/>
      <c r="AR94" s="10"/>
      <c r="AS94" s="18"/>
      <c r="AT94" s="18"/>
      <c r="AU94" s="33"/>
      <c r="AV94" s="26"/>
      <c r="AX94" s="20"/>
      <c r="BA94" s="27"/>
      <c r="BB94" s="32"/>
      <c r="BD94" s="20"/>
      <c r="BG94" s="27"/>
      <c r="BH94" s="32"/>
    </row>
    <row r="95" spans="2:60" x14ac:dyDescent="0.25">
      <c r="H95" s="10"/>
      <c r="I95" s="18"/>
      <c r="K95" s="18"/>
      <c r="L95" s="26"/>
      <c r="N95" s="10"/>
      <c r="O95" s="18"/>
      <c r="Q95" s="18"/>
      <c r="R95" s="26"/>
      <c r="T95" s="10"/>
      <c r="U95" s="18"/>
      <c r="W95" s="18"/>
      <c r="X95" s="26"/>
      <c r="AL95" s="20"/>
      <c r="AP95" s="32"/>
      <c r="AR95" s="20"/>
      <c r="AV95" s="32"/>
      <c r="AX95" s="20"/>
      <c r="BB95" s="32"/>
      <c r="BD95" s="20"/>
      <c r="BH95" s="26"/>
    </row>
    <row r="96" spans="2:60" x14ac:dyDescent="0.25">
      <c r="H96" s="10"/>
      <c r="L96" s="26"/>
      <c r="N96" s="10"/>
      <c r="R96" s="26"/>
      <c r="T96" s="10"/>
      <c r="X96" s="26"/>
      <c r="AL96" s="20"/>
      <c r="AN96" s="18"/>
      <c r="AP96" s="32"/>
      <c r="AR96" s="20"/>
      <c r="AV96" s="32"/>
      <c r="AX96" s="20"/>
      <c r="BB96" s="32"/>
      <c r="BD96" s="20"/>
      <c r="BH96" s="26"/>
    </row>
    <row r="97" spans="8:66" x14ac:dyDescent="0.25">
      <c r="H97" s="20"/>
      <c r="L97" s="19"/>
      <c r="N97" s="10"/>
      <c r="O97" s="18"/>
      <c r="P97" s="18"/>
      <c r="Q97" s="18"/>
      <c r="R97" s="11"/>
      <c r="T97" s="10"/>
      <c r="X97" s="11"/>
      <c r="AL97" s="20"/>
      <c r="AN97" s="18"/>
      <c r="AP97" s="32"/>
      <c r="AR97" s="20"/>
      <c r="AV97" s="32"/>
      <c r="AX97" s="20"/>
      <c r="AY97" s="18"/>
      <c r="AZ97" s="18"/>
      <c r="BA97" s="18"/>
      <c r="BB97" s="32"/>
      <c r="BD97" s="20"/>
      <c r="BE97" s="18"/>
      <c r="BF97" s="18"/>
      <c r="BG97" s="18"/>
      <c r="BH97" s="32"/>
    </row>
    <row r="98" spans="8:66" x14ac:dyDescent="0.25">
      <c r="H98" s="10"/>
      <c r="I98" s="18"/>
      <c r="J98" s="18"/>
      <c r="K98" s="18"/>
      <c r="L98" s="26"/>
      <c r="N98" s="20"/>
      <c r="R98" s="32"/>
      <c r="T98" s="20"/>
      <c r="U98" s="18"/>
      <c r="V98" s="18"/>
      <c r="W98" s="18"/>
      <c r="X98" s="32"/>
      <c r="AL98" s="20"/>
      <c r="AP98" s="32"/>
      <c r="AR98" s="20"/>
      <c r="AV98" s="32"/>
      <c r="AX98" s="20"/>
      <c r="AY98" s="18"/>
      <c r="BA98" s="18"/>
      <c r="BB98" s="32"/>
      <c r="BD98" s="20"/>
      <c r="BE98" s="18"/>
      <c r="BG98" s="18"/>
      <c r="BH98" s="32"/>
    </row>
    <row r="99" spans="8:66" x14ac:dyDescent="0.25">
      <c r="H99" s="10"/>
      <c r="L99" s="26"/>
      <c r="N99" s="10"/>
      <c r="R99" s="26"/>
      <c r="T99" s="10"/>
      <c r="X99" s="26"/>
      <c r="AL99" s="10"/>
      <c r="AM99" s="18"/>
      <c r="AN99" s="18"/>
      <c r="AO99" s="18"/>
      <c r="AP99" s="26"/>
      <c r="AR99" s="10"/>
      <c r="AV99" s="26"/>
      <c r="AX99" s="20"/>
      <c r="AY99" s="18"/>
      <c r="BA99" s="18"/>
      <c r="BB99" s="32"/>
      <c r="BD99" s="20"/>
      <c r="BE99" s="18"/>
      <c r="BG99" s="18"/>
      <c r="BH99" s="32"/>
    </row>
    <row r="100" spans="8:66" ht="15.75" thickBot="1" x14ac:dyDescent="0.3">
      <c r="H100" s="12"/>
      <c r="I100" s="13"/>
      <c r="J100" s="13"/>
      <c r="K100" s="13"/>
      <c r="L100" s="25"/>
      <c r="N100" s="12"/>
      <c r="O100" s="13"/>
      <c r="P100" s="13"/>
      <c r="Q100" s="13"/>
      <c r="R100" s="25"/>
      <c r="T100" s="12"/>
      <c r="U100" s="13"/>
      <c r="V100" s="13"/>
      <c r="W100" s="13"/>
      <c r="X100" s="25"/>
      <c r="AL100" s="12"/>
      <c r="AM100" s="13"/>
      <c r="AN100" s="13"/>
      <c r="AO100" s="13"/>
      <c r="AP100" s="25"/>
      <c r="AR100" s="12"/>
      <c r="AS100" s="13"/>
      <c r="AT100" s="13"/>
      <c r="AU100" s="13"/>
      <c r="AV100" s="25"/>
      <c r="AX100" s="22"/>
      <c r="AY100" s="17"/>
      <c r="AZ100" s="17"/>
      <c r="BA100" s="17"/>
      <c r="BB100" s="31"/>
      <c r="BD100" s="22"/>
      <c r="BE100" s="17"/>
      <c r="BF100" s="17"/>
      <c r="BG100" s="17"/>
      <c r="BH100" s="31"/>
    </row>
    <row r="101" spans="8:66" ht="15.75" thickBot="1" x14ac:dyDescent="0.3"/>
    <row r="102" spans="8:66" x14ac:dyDescent="0.25">
      <c r="AL102" s="29"/>
      <c r="AM102" s="35"/>
      <c r="AN102" s="21"/>
      <c r="AO102" s="8"/>
      <c r="AP102" s="9"/>
      <c r="AR102" s="16"/>
      <c r="AS102" s="8"/>
      <c r="AT102" s="8"/>
      <c r="AU102" s="8"/>
      <c r="AV102" s="9"/>
      <c r="AX102" s="34"/>
      <c r="AY102" s="28"/>
      <c r="AZ102" s="8"/>
      <c r="BA102" s="8"/>
      <c r="BB102" s="9"/>
      <c r="BD102" s="29"/>
      <c r="BE102" s="28"/>
      <c r="BF102" s="21"/>
      <c r="BG102" s="21"/>
      <c r="BH102" s="9"/>
      <c r="BJ102" s="29"/>
      <c r="BK102" s="28"/>
      <c r="BL102" s="21"/>
      <c r="BM102" s="8"/>
      <c r="BN102" s="9"/>
    </row>
    <row r="103" spans="8:66" x14ac:dyDescent="0.25">
      <c r="AL103" s="10"/>
      <c r="AN103" s="18"/>
      <c r="AO103" s="27"/>
      <c r="AP103" s="26"/>
      <c r="AR103" s="10"/>
      <c r="AS103" s="40"/>
      <c r="AT103" s="40"/>
      <c r="AU103" s="40"/>
      <c r="AV103" s="11"/>
      <c r="AX103" s="20"/>
      <c r="AY103" s="18"/>
      <c r="BA103" s="27"/>
      <c r="BB103" s="26"/>
      <c r="BD103" s="10"/>
      <c r="BE103" s="18"/>
      <c r="BF103" s="18"/>
      <c r="BG103" s="33"/>
      <c r="BH103" s="26"/>
      <c r="BJ103" s="10"/>
      <c r="BK103" s="18"/>
      <c r="BL103" s="18"/>
      <c r="BM103" s="27"/>
      <c r="BN103" s="26"/>
    </row>
    <row r="104" spans="8:66" x14ac:dyDescent="0.25">
      <c r="AL104" s="20"/>
      <c r="AN104" s="18"/>
      <c r="AP104" s="32"/>
      <c r="AR104" s="10"/>
      <c r="AS104" s="40"/>
      <c r="AT104" s="40"/>
      <c r="AU104" s="40"/>
      <c r="AV104" s="11"/>
      <c r="AX104" s="20"/>
      <c r="BB104" s="26"/>
      <c r="BD104" s="10"/>
      <c r="BF104" s="18"/>
      <c r="BH104" s="26"/>
      <c r="BJ104" s="10"/>
      <c r="BK104" s="18"/>
      <c r="BN104" s="26"/>
    </row>
    <row r="105" spans="8:66" x14ac:dyDescent="0.25">
      <c r="AL105" s="20"/>
      <c r="AN105" s="18"/>
      <c r="AP105" s="32"/>
      <c r="AR105" s="10"/>
      <c r="AS105" s="41"/>
      <c r="AT105" s="41"/>
      <c r="AU105" s="41"/>
      <c r="AV105" s="11"/>
      <c r="AX105" s="20"/>
      <c r="AY105" s="18"/>
      <c r="AZ105" s="18"/>
      <c r="BB105" s="26"/>
      <c r="BD105" s="10"/>
      <c r="BE105" s="18"/>
      <c r="BF105" s="18"/>
      <c r="BG105" s="18"/>
      <c r="BH105" s="26"/>
      <c r="BJ105" s="10"/>
      <c r="BK105" s="18"/>
      <c r="BL105" s="18"/>
      <c r="BN105" s="26"/>
    </row>
    <row r="106" spans="8:66" x14ac:dyDescent="0.25">
      <c r="AL106" s="20"/>
      <c r="AP106" s="32"/>
      <c r="AR106" s="20"/>
      <c r="AS106" s="40"/>
      <c r="AT106" s="40"/>
      <c r="AU106" s="40"/>
      <c r="AV106" s="19"/>
      <c r="AX106" s="20"/>
      <c r="BB106" s="26"/>
      <c r="BD106" s="20"/>
      <c r="BF106" s="18"/>
      <c r="BH106" s="32"/>
      <c r="BJ106" s="10"/>
      <c r="BK106" s="18"/>
      <c r="BM106" s="18"/>
      <c r="BN106" s="26"/>
    </row>
    <row r="107" spans="8:66" ht="15.75" thickBot="1" x14ac:dyDescent="0.3">
      <c r="AL107" s="20"/>
      <c r="AP107" s="32"/>
      <c r="AR107" s="20"/>
      <c r="AS107" s="40"/>
      <c r="AT107" s="41"/>
      <c r="AU107" s="40"/>
      <c r="AV107" s="19"/>
      <c r="AX107" s="20"/>
      <c r="AY107" s="18"/>
      <c r="AZ107" s="18"/>
      <c r="BA107" s="18"/>
      <c r="BB107" s="26"/>
      <c r="BD107" s="10"/>
      <c r="BF107" s="18"/>
      <c r="BH107" s="26"/>
      <c r="BJ107" s="10"/>
      <c r="BK107" s="18"/>
      <c r="BN107" s="26"/>
    </row>
    <row r="108" spans="8:66" x14ac:dyDescent="0.25">
      <c r="N108" s="16"/>
      <c r="O108" s="8"/>
      <c r="P108" s="8"/>
      <c r="Q108" s="8"/>
      <c r="R108" s="9"/>
      <c r="T108" s="16"/>
      <c r="U108" s="8"/>
      <c r="V108" s="8"/>
      <c r="W108" s="8"/>
      <c r="X108" s="9"/>
      <c r="Z108" s="16"/>
      <c r="AA108" s="8"/>
      <c r="AB108" s="8"/>
      <c r="AC108" s="8"/>
      <c r="AD108" s="9"/>
      <c r="AL108" s="10"/>
      <c r="AM108" s="18"/>
      <c r="AN108" s="18"/>
      <c r="AO108" s="18"/>
      <c r="AP108" s="26"/>
      <c r="AR108" s="20"/>
      <c r="AS108" s="40"/>
      <c r="AT108" s="40"/>
      <c r="AU108" s="40"/>
      <c r="AV108" s="19"/>
      <c r="AX108" s="10"/>
      <c r="BA108" s="18"/>
      <c r="BB108" s="26"/>
      <c r="BD108" s="10"/>
      <c r="BE108" s="18"/>
      <c r="BG108" s="18"/>
      <c r="BH108" s="26"/>
      <c r="BJ108" s="10"/>
      <c r="BK108" s="18"/>
      <c r="BN108" s="26"/>
    </row>
    <row r="109" spans="8:66" ht="15.75" thickBot="1" x14ac:dyDescent="0.3">
      <c r="N109" s="10"/>
      <c r="R109" s="11"/>
      <c r="T109" s="10"/>
      <c r="X109" s="11"/>
      <c r="Z109" s="10"/>
      <c r="AD109" s="11"/>
      <c r="AL109" s="12"/>
      <c r="AM109" s="13"/>
      <c r="AN109" s="13"/>
      <c r="AO109" s="13"/>
      <c r="AP109" s="25"/>
      <c r="AR109" s="12"/>
      <c r="AS109" s="17"/>
      <c r="AT109" s="17"/>
      <c r="AU109" s="17"/>
      <c r="AV109" s="15"/>
      <c r="AX109" s="12"/>
      <c r="AY109" s="13"/>
      <c r="AZ109" s="13"/>
      <c r="BA109" s="17"/>
      <c r="BB109" s="31"/>
      <c r="BD109" s="12"/>
      <c r="BE109" s="17"/>
      <c r="BF109" s="13"/>
      <c r="BG109" s="17"/>
      <c r="BH109" s="25"/>
      <c r="BJ109" s="12"/>
      <c r="BK109" s="17"/>
      <c r="BL109" s="17"/>
      <c r="BM109" s="13"/>
      <c r="BN109" s="25"/>
    </row>
    <row r="110" spans="8:66" ht="15.75" thickBot="1" x14ac:dyDescent="0.3">
      <c r="N110" s="10"/>
      <c r="R110" s="11"/>
      <c r="T110" s="10"/>
      <c r="X110" s="11"/>
      <c r="Z110" s="20"/>
      <c r="AA110" s="18"/>
      <c r="AB110" s="18"/>
      <c r="AC110" s="18"/>
      <c r="AD110" s="19"/>
      <c r="AZ110" s="30"/>
    </row>
    <row r="111" spans="8:66" x14ac:dyDescent="0.25">
      <c r="N111" s="10"/>
      <c r="R111" s="11"/>
      <c r="T111" s="10"/>
      <c r="X111" s="11"/>
      <c r="Z111" s="10"/>
      <c r="AD111" s="11"/>
      <c r="BJ111" s="29"/>
      <c r="BK111" s="28"/>
      <c r="BL111" s="21"/>
      <c r="BM111" s="8"/>
      <c r="BN111" s="9"/>
    </row>
    <row r="112" spans="8:66" x14ac:dyDescent="0.25">
      <c r="N112" s="10"/>
      <c r="R112" s="11"/>
      <c r="T112" s="10"/>
      <c r="U112" s="18"/>
      <c r="V112" s="18"/>
      <c r="W112" s="18"/>
      <c r="X112" s="11"/>
      <c r="Z112" s="10"/>
      <c r="AA112" s="18"/>
      <c r="AB112" s="18"/>
      <c r="AC112" s="18"/>
      <c r="AD112" s="11"/>
      <c r="BJ112" s="10"/>
      <c r="BK112" s="18"/>
      <c r="BL112" s="18"/>
      <c r="BM112" s="27"/>
      <c r="BN112" s="26"/>
    </row>
    <row r="113" spans="14:66" x14ac:dyDescent="0.25">
      <c r="N113" s="10"/>
      <c r="R113" s="11"/>
      <c r="T113" s="10"/>
      <c r="X113" s="11"/>
      <c r="Z113" s="10"/>
      <c r="AD113" s="11"/>
      <c r="BJ113" s="10"/>
      <c r="BK113" s="18"/>
      <c r="BN113" s="26"/>
    </row>
    <row r="114" spans="14:66" x14ac:dyDescent="0.25">
      <c r="N114" s="10"/>
      <c r="P114" s="18"/>
      <c r="R114" s="11"/>
      <c r="T114" s="10"/>
      <c r="V114" s="18"/>
      <c r="X114" s="11"/>
      <c r="Z114" s="10"/>
      <c r="AB114" s="18"/>
      <c r="AD114" s="11"/>
      <c r="BJ114" s="10"/>
      <c r="BK114" s="18"/>
      <c r="BL114" s="18"/>
      <c r="BM114" s="18"/>
      <c r="BN114" s="26"/>
    </row>
    <row r="115" spans="14:66" ht="15.75" thickBot="1" x14ac:dyDescent="0.3">
      <c r="N115" s="12"/>
      <c r="O115" s="13"/>
      <c r="P115" s="13"/>
      <c r="Q115" s="13"/>
      <c r="R115" s="15"/>
      <c r="T115" s="12"/>
      <c r="U115" s="13"/>
      <c r="V115" s="13"/>
      <c r="W115" s="13"/>
      <c r="X115" s="15"/>
      <c r="Z115" s="12"/>
      <c r="AA115" s="13"/>
      <c r="AB115" s="13"/>
      <c r="AC115" s="13"/>
      <c r="AD115" s="15"/>
      <c r="BJ115" s="10"/>
      <c r="BK115" s="18"/>
      <c r="BN115" s="26"/>
    </row>
    <row r="116" spans="14:66" x14ac:dyDescent="0.25">
      <c r="AO116" t="s">
        <v>7</v>
      </c>
      <c r="AP116" t="s">
        <v>8</v>
      </c>
      <c r="AQ116" t="s">
        <v>9</v>
      </c>
      <c r="AR116" t="s">
        <v>10</v>
      </c>
      <c r="BJ116" s="10"/>
      <c r="BK116" s="18"/>
      <c r="BN116" s="26"/>
    </row>
    <row r="117" spans="14:66" ht="15.75" thickBot="1" x14ac:dyDescent="0.3">
      <c r="BJ117" s="20"/>
      <c r="BL117" s="18"/>
      <c r="BN117" s="26"/>
    </row>
    <row r="118" spans="14:66" ht="15.75" thickBot="1" x14ac:dyDescent="0.3">
      <c r="N118" s="16"/>
      <c r="O118" s="8"/>
      <c r="P118" s="8"/>
      <c r="Q118" s="8"/>
      <c r="R118" s="9"/>
      <c r="T118" s="16"/>
      <c r="U118" s="8"/>
      <c r="V118" s="8"/>
      <c r="W118" s="8"/>
      <c r="X118" s="9"/>
      <c r="Z118" s="16"/>
      <c r="AA118" s="8"/>
      <c r="AB118" s="8"/>
      <c r="AC118" s="8"/>
      <c r="AD118" s="9"/>
      <c r="AF118" s="16"/>
      <c r="AG118" s="21"/>
      <c r="AH118" s="21"/>
      <c r="AI118" s="21"/>
      <c r="AJ118" s="23"/>
      <c r="AO118" t="s">
        <v>9</v>
      </c>
      <c r="AP118" t="s">
        <v>14</v>
      </c>
      <c r="AQ118" t="s">
        <v>81</v>
      </c>
      <c r="AR118" t="s">
        <v>10</v>
      </c>
      <c r="BJ118" s="22"/>
      <c r="BK118" s="13"/>
      <c r="BL118" s="13"/>
      <c r="BM118" s="17"/>
      <c r="BN118" s="25"/>
    </row>
    <row r="119" spans="14:66" x14ac:dyDescent="0.25">
      <c r="N119" s="10"/>
      <c r="R119" s="11"/>
      <c r="T119" s="10"/>
      <c r="X119" s="11"/>
      <c r="Z119" s="10"/>
      <c r="AD119" s="11"/>
      <c r="AF119" s="10"/>
      <c r="AJ119" s="11"/>
    </row>
    <row r="120" spans="14:66" x14ac:dyDescent="0.25">
      <c r="N120" s="10"/>
      <c r="R120" s="11"/>
      <c r="T120" s="10"/>
      <c r="X120" s="11"/>
      <c r="Z120" s="10"/>
      <c r="AA120" s="18"/>
      <c r="AB120" s="18"/>
      <c r="AC120" s="18"/>
      <c r="AD120" s="11"/>
      <c r="AF120" s="10"/>
      <c r="AG120" s="18"/>
      <c r="AH120" s="18"/>
      <c r="AI120" s="18"/>
      <c r="AJ120" s="11"/>
      <c r="AO120" t="s">
        <v>87</v>
      </c>
      <c r="AP120" t="s">
        <v>77</v>
      </c>
      <c r="AQ120" t="s">
        <v>13</v>
      </c>
      <c r="AR120" t="s">
        <v>7</v>
      </c>
    </row>
    <row r="121" spans="14:66" x14ac:dyDescent="0.25">
      <c r="N121" s="10"/>
      <c r="R121" s="11"/>
      <c r="T121" s="10"/>
      <c r="X121" s="11"/>
      <c r="Z121" s="10"/>
      <c r="AD121" s="11"/>
      <c r="AF121" s="10"/>
      <c r="AJ121" s="11"/>
    </row>
    <row r="122" spans="14:66" x14ac:dyDescent="0.25">
      <c r="N122" s="10"/>
      <c r="R122" s="11"/>
      <c r="T122" s="10"/>
      <c r="U122" s="18"/>
      <c r="V122" s="18"/>
      <c r="X122" s="11"/>
      <c r="Z122" s="10"/>
      <c r="AA122" s="18"/>
      <c r="AB122" s="18"/>
      <c r="AD122" s="11"/>
      <c r="AF122" s="10"/>
      <c r="AG122" s="18"/>
      <c r="AH122" s="18"/>
      <c r="AJ122" s="11"/>
      <c r="AO122" t="s">
        <v>86</v>
      </c>
      <c r="AP122" t="s">
        <v>82</v>
      </c>
      <c r="AQ122" t="s">
        <v>76</v>
      </c>
      <c r="AR122" t="s">
        <v>76</v>
      </c>
    </row>
    <row r="123" spans="14:66" x14ac:dyDescent="0.25">
      <c r="N123" s="10"/>
      <c r="R123" s="11"/>
      <c r="T123" s="10"/>
      <c r="X123" s="11"/>
      <c r="Z123" s="10"/>
      <c r="AD123" s="11"/>
      <c r="AF123" s="10"/>
      <c r="AJ123" s="11"/>
    </row>
    <row r="124" spans="14:66" x14ac:dyDescent="0.25">
      <c r="N124" s="10"/>
      <c r="O124" s="18"/>
      <c r="R124" s="11"/>
      <c r="T124" s="10"/>
      <c r="U124" s="18"/>
      <c r="X124" s="11"/>
      <c r="Z124" s="10"/>
      <c r="AA124" s="18"/>
      <c r="AD124" s="11"/>
      <c r="AF124" s="10"/>
      <c r="AG124" s="18"/>
      <c r="AJ124" s="11"/>
    </row>
    <row r="125" spans="14:66" ht="15.75" thickBot="1" x14ac:dyDescent="0.3">
      <c r="N125" s="12"/>
      <c r="O125" s="13"/>
      <c r="P125" s="13"/>
      <c r="Q125" s="13"/>
      <c r="R125" s="15"/>
      <c r="T125" s="12"/>
      <c r="U125" s="13"/>
      <c r="V125" s="13"/>
      <c r="W125" s="13"/>
      <c r="X125" s="15"/>
      <c r="Z125" s="12"/>
      <c r="AA125" s="13"/>
      <c r="AB125" s="13"/>
      <c r="AC125" s="13"/>
      <c r="AD125" s="15"/>
      <c r="AF125" s="12"/>
      <c r="AG125" s="13"/>
      <c r="AH125" s="13"/>
      <c r="AI125" s="13"/>
      <c r="AJ125" s="15"/>
    </row>
    <row r="126" spans="14:66" ht="15.75" thickBot="1" x14ac:dyDescent="0.3"/>
    <row r="127" spans="14:66" x14ac:dyDescent="0.25">
      <c r="N127" s="16"/>
      <c r="O127" s="8"/>
      <c r="P127" s="8"/>
      <c r="Q127" s="8"/>
      <c r="R127" s="9"/>
      <c r="T127" s="16"/>
      <c r="U127" s="8"/>
      <c r="V127" s="8"/>
      <c r="W127" s="8"/>
      <c r="X127" s="9"/>
      <c r="Z127" s="16"/>
      <c r="AA127" s="8"/>
      <c r="AB127" s="8"/>
      <c r="AC127" s="8"/>
      <c r="AD127" s="9"/>
      <c r="AF127" s="24"/>
      <c r="AG127" s="21"/>
      <c r="AH127" s="21"/>
      <c r="AI127" s="21"/>
      <c r="AJ127" s="23"/>
    </row>
    <row r="128" spans="14:66" x14ac:dyDescent="0.25">
      <c r="N128" s="10"/>
      <c r="R128" s="11"/>
      <c r="T128" s="10"/>
      <c r="X128" s="11"/>
      <c r="Z128" s="10"/>
      <c r="AD128" s="11"/>
      <c r="AF128" s="10"/>
      <c r="AJ128" s="11"/>
    </row>
    <row r="129" spans="14:36" x14ac:dyDescent="0.25">
      <c r="N129" s="10"/>
      <c r="R129" s="11"/>
      <c r="T129" s="10"/>
      <c r="X129" s="11"/>
      <c r="Z129" s="20"/>
      <c r="AA129" s="18"/>
      <c r="AB129" s="18"/>
      <c r="AC129" s="18"/>
      <c r="AD129" s="11"/>
      <c r="AF129" s="20"/>
      <c r="AG129" s="18"/>
      <c r="AH129" s="18"/>
      <c r="AI129" s="18"/>
      <c r="AJ129" s="11"/>
    </row>
    <row r="130" spans="14:36" x14ac:dyDescent="0.25">
      <c r="N130" s="10"/>
      <c r="R130" s="11"/>
      <c r="T130" s="10"/>
      <c r="X130" s="11"/>
      <c r="Z130" s="10"/>
      <c r="AD130" s="11"/>
      <c r="AF130" s="10"/>
      <c r="AJ130" s="11"/>
    </row>
    <row r="131" spans="14:36" x14ac:dyDescent="0.25">
      <c r="N131" s="10"/>
      <c r="R131" s="11"/>
      <c r="T131" s="20"/>
      <c r="U131" s="18"/>
      <c r="V131" s="18"/>
      <c r="X131" s="11"/>
      <c r="Z131" s="20"/>
      <c r="AA131" s="18"/>
      <c r="AB131" s="18"/>
      <c r="AD131" s="11"/>
      <c r="AF131" s="20"/>
      <c r="AG131" s="18"/>
      <c r="AH131" s="18"/>
      <c r="AJ131" s="11"/>
    </row>
    <row r="132" spans="14:36" x14ac:dyDescent="0.25">
      <c r="N132" s="10"/>
      <c r="R132" s="11"/>
      <c r="T132" s="10"/>
      <c r="X132" s="11"/>
      <c r="Z132" s="10"/>
      <c r="AD132" s="11"/>
      <c r="AF132" s="10"/>
      <c r="AJ132" s="11"/>
    </row>
    <row r="133" spans="14:36" x14ac:dyDescent="0.25">
      <c r="N133" s="20"/>
      <c r="O133" s="18"/>
      <c r="R133" s="11"/>
      <c r="T133" s="20"/>
      <c r="U133" s="18"/>
      <c r="X133" s="11"/>
      <c r="Z133" s="20"/>
      <c r="AA133" s="18"/>
      <c r="AD133" s="11"/>
      <c r="AF133" s="20"/>
      <c r="AG133" s="18"/>
      <c r="AJ133" s="11"/>
    </row>
    <row r="134" spans="14:36" ht="15.75" thickBot="1" x14ac:dyDescent="0.3">
      <c r="N134" s="12"/>
      <c r="O134" s="13"/>
      <c r="P134" s="13"/>
      <c r="Q134" s="13"/>
      <c r="R134" s="15"/>
      <c r="T134" s="12"/>
      <c r="U134" s="13"/>
      <c r="V134" s="13"/>
      <c r="W134" s="13"/>
      <c r="X134" s="15"/>
      <c r="Z134" s="12"/>
      <c r="AA134" s="13"/>
      <c r="AB134" s="13"/>
      <c r="AC134" s="13"/>
      <c r="AD134" s="15"/>
      <c r="AF134" s="12"/>
      <c r="AG134" s="13"/>
      <c r="AH134" s="13"/>
      <c r="AI134" s="13"/>
      <c r="AJ134" s="15"/>
    </row>
    <row r="135" spans="14:36" ht="15.75" thickBot="1" x14ac:dyDescent="0.3"/>
    <row r="136" spans="14:36" x14ac:dyDescent="0.25">
      <c r="N136" s="16"/>
      <c r="O136" s="8"/>
      <c r="P136" s="8"/>
      <c r="Q136" s="8"/>
      <c r="R136" s="9"/>
      <c r="T136" s="16"/>
      <c r="U136" s="8"/>
      <c r="V136" s="8"/>
      <c r="W136" s="8"/>
      <c r="X136" s="9"/>
      <c r="Z136" s="16"/>
      <c r="AA136" s="8"/>
      <c r="AB136" s="8"/>
      <c r="AC136" s="8"/>
      <c r="AD136" s="9"/>
    </row>
    <row r="137" spans="14:36" x14ac:dyDescent="0.25">
      <c r="N137" s="10"/>
      <c r="R137" s="11"/>
      <c r="T137" s="10"/>
      <c r="X137" s="11"/>
      <c r="Z137" s="20"/>
      <c r="AA137" s="18"/>
      <c r="AB137" s="18"/>
      <c r="AD137" s="11"/>
    </row>
    <row r="138" spans="14:36" x14ac:dyDescent="0.25">
      <c r="N138" s="10"/>
      <c r="R138" s="11"/>
      <c r="T138" s="10"/>
      <c r="X138" s="11"/>
      <c r="Z138" s="10"/>
      <c r="AC138" s="18"/>
      <c r="AD138" s="11"/>
    </row>
    <row r="139" spans="14:36" x14ac:dyDescent="0.25">
      <c r="N139" s="10"/>
      <c r="R139" s="11"/>
      <c r="T139" s="20"/>
      <c r="U139" s="18"/>
      <c r="X139" s="11"/>
      <c r="Z139" s="20"/>
      <c r="AA139" s="18"/>
      <c r="AD139" s="19"/>
    </row>
    <row r="140" spans="14:36" x14ac:dyDescent="0.25">
      <c r="N140" s="10"/>
      <c r="R140" s="11"/>
      <c r="T140" s="10"/>
      <c r="V140" s="18"/>
      <c r="X140" s="11"/>
      <c r="Z140" s="10"/>
      <c r="AB140" s="18"/>
      <c r="AD140" s="19"/>
    </row>
    <row r="141" spans="14:36" x14ac:dyDescent="0.25">
      <c r="N141" s="20"/>
      <c r="R141" s="11"/>
      <c r="T141" s="20"/>
      <c r="V141" s="18"/>
      <c r="X141" s="11"/>
      <c r="Z141" s="20"/>
      <c r="AB141" s="18"/>
      <c r="AD141" s="19"/>
    </row>
    <row r="142" spans="14:36" x14ac:dyDescent="0.25">
      <c r="N142" s="10"/>
      <c r="R142" s="11"/>
      <c r="T142" s="10"/>
      <c r="X142" s="11"/>
      <c r="Z142" s="10"/>
      <c r="AD142" s="11"/>
    </row>
    <row r="143" spans="14:36" ht="15.75" thickBot="1" x14ac:dyDescent="0.3">
      <c r="N143" s="12"/>
      <c r="O143" s="13"/>
      <c r="P143" s="13"/>
      <c r="Q143" s="13"/>
      <c r="R143" s="15"/>
      <c r="T143" s="12"/>
      <c r="U143" s="13"/>
      <c r="V143" s="13"/>
      <c r="W143" s="13"/>
      <c r="X143" s="15"/>
      <c r="Z143" s="12"/>
      <c r="AA143" s="13"/>
      <c r="AB143" s="13"/>
      <c r="AC143" s="13"/>
      <c r="AD143" s="15"/>
    </row>
    <row r="144" spans="14:36" ht="15.75" thickBot="1" x14ac:dyDescent="0.3"/>
    <row r="145" spans="14:30" x14ac:dyDescent="0.25">
      <c r="N145" s="16"/>
      <c r="O145" s="8"/>
      <c r="P145" s="8"/>
      <c r="Q145" s="8"/>
      <c r="R145" s="9"/>
      <c r="T145" s="16"/>
      <c r="U145" s="8"/>
      <c r="V145" s="8"/>
      <c r="W145" s="8"/>
      <c r="X145" s="9"/>
      <c r="Z145" s="24"/>
      <c r="AA145" s="21"/>
      <c r="AB145" s="21"/>
      <c r="AC145" s="21"/>
      <c r="AD145" s="9"/>
    </row>
    <row r="146" spans="14:30" x14ac:dyDescent="0.25">
      <c r="N146" s="10"/>
      <c r="R146" s="11"/>
      <c r="T146" s="10"/>
      <c r="X146" s="11"/>
      <c r="Z146" s="20"/>
      <c r="AA146" s="18"/>
      <c r="AB146" s="18"/>
      <c r="AC146" s="18"/>
      <c r="AD146" s="11"/>
    </row>
    <row r="147" spans="14:30" x14ac:dyDescent="0.25">
      <c r="N147" s="10"/>
      <c r="R147" s="11"/>
      <c r="T147" s="10"/>
      <c r="X147" s="11"/>
      <c r="Z147" s="10"/>
      <c r="AD147" s="11"/>
    </row>
    <row r="148" spans="14:30" x14ac:dyDescent="0.25">
      <c r="N148" s="10"/>
      <c r="R148" s="11"/>
      <c r="T148" s="20"/>
      <c r="U148" s="18"/>
      <c r="V148" s="18"/>
      <c r="X148" s="11"/>
      <c r="Z148" s="20"/>
      <c r="AA148" s="18"/>
      <c r="AB148" s="18"/>
      <c r="AD148" s="11"/>
    </row>
    <row r="149" spans="14:30" x14ac:dyDescent="0.25">
      <c r="N149" s="10"/>
      <c r="R149" s="11"/>
      <c r="T149" s="20"/>
      <c r="U149" s="18"/>
      <c r="V149" s="18"/>
      <c r="X149" s="11"/>
      <c r="Z149" s="20"/>
      <c r="AA149" s="18"/>
      <c r="AB149" s="18"/>
      <c r="AD149" s="11"/>
    </row>
    <row r="150" spans="14:30" x14ac:dyDescent="0.25">
      <c r="N150" s="10"/>
      <c r="R150" s="11"/>
      <c r="T150" s="10"/>
      <c r="X150" s="11"/>
      <c r="Z150" s="10"/>
      <c r="AD150" s="11"/>
    </row>
    <row r="151" spans="14:30" x14ac:dyDescent="0.25">
      <c r="N151" s="20"/>
      <c r="O151" s="18"/>
      <c r="R151" s="11"/>
      <c r="T151" s="20"/>
      <c r="U151" s="18"/>
      <c r="X151" s="11"/>
      <c r="Z151" s="20"/>
      <c r="AA151" s="18"/>
      <c r="AD151" s="11"/>
    </row>
    <row r="152" spans="14:30" ht="15.75" thickBot="1" x14ac:dyDescent="0.3">
      <c r="N152" s="22"/>
      <c r="O152" s="17"/>
      <c r="P152" s="13"/>
      <c r="Q152" s="13"/>
      <c r="R152" s="15"/>
      <c r="T152" s="22"/>
      <c r="U152" s="17"/>
      <c r="V152" s="13"/>
      <c r="W152" s="13"/>
      <c r="X152" s="15"/>
      <c r="Z152" s="22"/>
      <c r="AA152" s="17"/>
      <c r="AB152" s="13"/>
      <c r="AC152" s="13"/>
      <c r="AD152" s="15"/>
    </row>
    <row r="153" spans="14:30" ht="15.75" thickBot="1" x14ac:dyDescent="0.3"/>
    <row r="154" spans="14:30" x14ac:dyDescent="0.25">
      <c r="N154" s="16"/>
      <c r="O154" s="8"/>
      <c r="P154" s="8"/>
      <c r="Q154" s="8"/>
      <c r="R154" s="9"/>
      <c r="T154" s="16"/>
      <c r="U154" s="8"/>
      <c r="V154" s="8"/>
      <c r="W154" s="8"/>
      <c r="X154" s="9"/>
      <c r="Z154" s="24"/>
      <c r="AA154" s="21"/>
      <c r="AB154" s="21"/>
      <c r="AC154" s="21"/>
      <c r="AD154" s="23"/>
    </row>
    <row r="155" spans="14:30" x14ac:dyDescent="0.25">
      <c r="N155" s="10"/>
      <c r="R155" s="11"/>
      <c r="T155" s="10"/>
      <c r="X155" s="11"/>
      <c r="Z155" s="20"/>
      <c r="AA155" s="18"/>
      <c r="AB155" s="18"/>
      <c r="AC155" s="18"/>
      <c r="AD155" s="19"/>
    </row>
    <row r="156" spans="14:30" x14ac:dyDescent="0.25">
      <c r="N156" s="10"/>
      <c r="R156" s="11"/>
      <c r="T156" s="10"/>
      <c r="X156" s="11"/>
      <c r="Z156" s="10"/>
      <c r="AD156" s="11"/>
    </row>
    <row r="157" spans="14:30" x14ac:dyDescent="0.25">
      <c r="N157" s="10"/>
      <c r="R157" s="11"/>
      <c r="T157" s="20"/>
      <c r="U157" s="18"/>
      <c r="V157" s="18"/>
      <c r="X157" s="11"/>
      <c r="Z157" s="20"/>
      <c r="AA157" s="18"/>
      <c r="AB157" s="18"/>
      <c r="AD157" s="11"/>
    </row>
    <row r="158" spans="14:30" x14ac:dyDescent="0.25">
      <c r="N158" s="10"/>
      <c r="R158" s="11"/>
      <c r="T158" s="20"/>
      <c r="U158" s="18"/>
      <c r="V158" s="18"/>
      <c r="X158" s="11"/>
      <c r="Z158" s="20"/>
      <c r="AA158" s="18"/>
      <c r="AB158" s="18"/>
      <c r="AD158" s="11"/>
    </row>
    <row r="159" spans="14:30" x14ac:dyDescent="0.25">
      <c r="N159" s="10"/>
      <c r="R159" s="11"/>
      <c r="T159" s="10"/>
      <c r="X159" s="11"/>
      <c r="Z159" s="10"/>
      <c r="AD159" s="11"/>
    </row>
    <row r="160" spans="14:30" x14ac:dyDescent="0.25">
      <c r="N160" s="20"/>
      <c r="R160" s="11"/>
      <c r="T160" s="20"/>
      <c r="X160" s="11"/>
      <c r="Z160" s="20"/>
      <c r="AD160" s="11"/>
    </row>
    <row r="161" spans="14:30" ht="15.75" thickBot="1" x14ac:dyDescent="0.3">
      <c r="N161" s="22"/>
      <c r="O161" s="13"/>
      <c r="P161" s="13"/>
      <c r="Q161" s="13"/>
      <c r="R161" s="15"/>
      <c r="T161" s="22"/>
      <c r="U161" s="13"/>
      <c r="V161" s="13"/>
      <c r="W161" s="13"/>
      <c r="X161" s="15"/>
      <c r="Z161" s="22"/>
      <c r="AA161" s="13"/>
      <c r="AB161" s="13"/>
      <c r="AC161" s="13"/>
      <c r="AD161" s="15"/>
    </row>
    <row r="162" spans="14:30" ht="15.75" thickBot="1" x14ac:dyDescent="0.3"/>
    <row r="163" spans="14:30" x14ac:dyDescent="0.25">
      <c r="N163" s="16"/>
      <c r="O163" s="8"/>
      <c r="P163" s="21"/>
      <c r="Q163" s="8"/>
      <c r="R163" s="9"/>
      <c r="T163" s="16"/>
      <c r="U163" s="8"/>
      <c r="V163" s="8"/>
      <c r="W163" s="8"/>
      <c r="X163" s="9"/>
      <c r="Z163" s="16"/>
      <c r="AA163" s="8"/>
      <c r="AB163" s="8"/>
      <c r="AC163" s="8"/>
      <c r="AD163" s="9"/>
    </row>
    <row r="164" spans="14:30" x14ac:dyDescent="0.25">
      <c r="N164" s="10"/>
      <c r="O164" s="18"/>
      <c r="P164" s="18"/>
      <c r="Q164" s="18"/>
      <c r="R164" s="11"/>
      <c r="T164" s="10"/>
      <c r="X164" s="11"/>
      <c r="Z164" s="10"/>
      <c r="AD164" s="11"/>
    </row>
    <row r="165" spans="14:30" x14ac:dyDescent="0.25">
      <c r="N165" s="20"/>
      <c r="P165" s="18"/>
      <c r="R165" s="19"/>
      <c r="T165" s="10"/>
      <c r="X165" s="11"/>
      <c r="Z165" s="10"/>
      <c r="AD165" s="11"/>
    </row>
    <row r="166" spans="14:30" x14ac:dyDescent="0.25">
      <c r="N166" s="10"/>
      <c r="P166" s="18"/>
      <c r="R166" s="11"/>
      <c r="T166" s="10"/>
      <c r="X166" s="11"/>
      <c r="Z166" s="10"/>
      <c r="AD166" s="11"/>
    </row>
    <row r="167" spans="14:30" x14ac:dyDescent="0.25">
      <c r="N167" s="10"/>
      <c r="P167" s="18"/>
      <c r="R167" s="11"/>
      <c r="T167" s="10"/>
      <c r="X167" s="11"/>
      <c r="Z167" s="10"/>
      <c r="AD167" s="11"/>
    </row>
    <row r="168" spans="14:30" x14ac:dyDescent="0.25">
      <c r="N168" s="20"/>
      <c r="P168" s="18"/>
      <c r="R168" s="19"/>
      <c r="T168" s="10"/>
      <c r="X168" s="11"/>
      <c r="Z168" s="10"/>
      <c r="AD168" s="11"/>
    </row>
    <row r="169" spans="14:30" x14ac:dyDescent="0.25">
      <c r="N169" s="10"/>
      <c r="O169" s="18"/>
      <c r="P169" s="18"/>
      <c r="Q169" s="18"/>
      <c r="R169" s="11"/>
      <c r="T169" s="10"/>
      <c r="X169" s="11"/>
      <c r="Z169" s="10"/>
      <c r="AD169" s="11"/>
    </row>
    <row r="170" spans="14:30" ht="15.75" thickBot="1" x14ac:dyDescent="0.3">
      <c r="N170" s="12"/>
      <c r="O170" s="13"/>
      <c r="P170" s="17"/>
      <c r="Q170" s="13"/>
      <c r="R170" s="15"/>
      <c r="T170" s="12"/>
      <c r="U170" s="13"/>
      <c r="V170" s="13"/>
      <c r="W170" s="13"/>
      <c r="X170" s="15"/>
      <c r="Z170" s="12"/>
      <c r="AA170" s="13"/>
      <c r="AB170" s="13"/>
      <c r="AC170" s="13"/>
      <c r="AD17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Joris</dc:creator>
  <cp:lastModifiedBy>Joris Lambrecht</cp:lastModifiedBy>
  <dcterms:created xsi:type="dcterms:W3CDTF">2025-01-31T14:52:36Z</dcterms:created>
  <dcterms:modified xsi:type="dcterms:W3CDTF">2025-03-07T16:06:24Z</dcterms:modified>
</cp:coreProperties>
</file>